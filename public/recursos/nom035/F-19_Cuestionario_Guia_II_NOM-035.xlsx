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estionario"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6A0DAD"/>
      <sz val="13"/>
    </font>
    <font>
      <name val="Arial"/>
      <i val="1"/>
      <color rgb="00666666"/>
      <sz val="9"/>
    </font>
    <font>
      <i val="1"/>
      <color rgb="00999999"/>
      <sz val="8"/>
    </font>
    <font>
      <name val="Arial"/>
      <b val="1"/>
      <color rgb="00FFFFFF"/>
      <sz val="10"/>
    </font>
    <font>
      <name val="Arial"/>
      <sz val="10"/>
    </font>
    <font>
      <name val="Arial"/>
      <color rgb="00999999"/>
      <sz val="8"/>
    </font>
    <font>
      <name val="Arial"/>
      <b val="1"/>
      <color rgb="004B0082"/>
      <sz val="11"/>
    </font>
    <font>
      <name val="Arial"/>
      <b val="1"/>
      <sz val="11"/>
    </font>
    <font>
      <name val="Arial"/>
      <sz val="9"/>
    </font>
    <font>
      <name val="Arial"/>
      <i val="1"/>
      <color rgb="00666666"/>
      <sz val="8"/>
    </font>
  </fonts>
  <fills count="3">
    <fill>
      <patternFill/>
    </fill>
    <fill>
      <patternFill patternType="gray125"/>
    </fill>
    <fill>
      <patternFill patternType="solid">
        <fgColor rgb="004B008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3" fillId="0" borderId="0" pivotButton="0" quotePrefix="0" xfId="0"/>
    <xf numFmtId="0" fontId="2" fillId="0" borderId="0" applyAlignment="1" pivotButton="0" quotePrefix="0" xfId="0">
      <alignment horizontal="center" wrapText="1"/>
    </xf>
    <xf numFmtId="0" fontId="4" fillId="2" borderId="1" applyAlignment="1" pivotButton="0" quotePrefix="0" xfId="0">
      <alignment vertical="top" wrapText="1"/>
    </xf>
    <xf numFmtId="0" fontId="5" fillId="0" borderId="1" applyAlignment="1" pivotButton="0" quotePrefix="0" xfId="0">
      <alignment vertical="top"/>
    </xf>
    <xf numFmtId="0" fontId="5" fillId="0"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horizontal="center"/>
    </xf>
    <xf numFmtId="0" fontId="5" fillId="0" borderId="1" applyAlignment="1" pivotButton="0" quotePrefix="0" xfId="0">
      <alignment horizontal="center"/>
    </xf>
    <xf numFmtId="0" fontId="7" fillId="0" borderId="0" pivotButton="0" quotePrefix="0" xfId="0"/>
    <xf numFmtId="0" fontId="8" fillId="0" borderId="1" applyAlignment="1" pivotButton="0" quotePrefix="0" xfId="0">
      <alignment horizontal="center"/>
    </xf>
    <xf numFmtId="0" fontId="9" fillId="0" borderId="0" applyAlignment="1" pivotButton="0" quotePrefix="0" xfId="0">
      <alignmen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ySplit="4" topLeftCell="A5" activePane="bottomLeft" state="frozen"/>
      <selection pane="bottomLeft" activeCell="A1" sqref="A1"/>
    </sheetView>
  </sheetViews>
  <sheetFormatPr baseColWidth="8" defaultRowHeight="15"/>
  <cols>
    <col width="4" customWidth="1" min="1" max="1"/>
    <col width="70" customWidth="1" min="2" max="2"/>
    <col width="11" customWidth="1" min="3" max="3"/>
    <col width="15" customWidth="1" min="4" max="4"/>
    <col width="9" customWidth="1" min="5" max="5"/>
    <col width="12" customWidth="1" min="8" max="8"/>
    <col width="12" customWidth="1" min="9" max="9"/>
    <col width="12" customWidth="1" min="10" max="10"/>
  </cols>
  <sheetData>
    <row r="1">
      <c r="A1" s="1" t="inlineStr">
        <is>
          <t>Cuestionario NOM-035 · Guía de Referencia II (16–50 trabajadores) · F-19</t>
        </is>
      </c>
      <c r="H1" s="2" t="inlineStr">
        <is>
          <t>(mapa de puntaje — no modificar)</t>
        </is>
      </c>
    </row>
    <row r="2" ht="42" customHeight="1">
      <c r="A2" s="3" t="inlineStr">
        <is>
          <t>Instrumento oficial de la NOM-035-STPS-2018 (Guía II, 46 reactivos). Marque una opción por reactivo en la columna "Respuesta"; el puntaje y el nivel de riesgo se calculan automáticamente. Considere los dos últimos meses. No hay respuestas correctas o incorrectas.</t>
        </is>
      </c>
      <c r="H2" t="inlineStr">
        <is>
          <t>Opción</t>
        </is>
      </c>
      <c r="I2" t="inlineStr">
        <is>
          <t>Normal</t>
        </is>
      </c>
      <c r="J2" t="inlineStr">
        <is>
          <t>Inverso</t>
        </is>
      </c>
    </row>
    <row r="3">
      <c r="H3" t="inlineStr">
        <is>
          <t>Siempre</t>
        </is>
      </c>
      <c r="I3" t="n">
        <v>4</v>
      </c>
      <c r="J3" t="n">
        <v>0</v>
      </c>
    </row>
    <row r="4">
      <c r="A4" s="4" t="inlineStr">
        <is>
          <t>#</t>
        </is>
      </c>
      <c r="B4" s="4" t="inlineStr">
        <is>
          <t>Reactivo</t>
        </is>
      </c>
      <c r="C4" s="4" t="inlineStr">
        <is>
          <t>Puntuación</t>
        </is>
      </c>
      <c r="D4" s="4" t="inlineStr">
        <is>
          <t>Respuesta</t>
        </is>
      </c>
      <c r="E4" s="4" t="inlineStr">
        <is>
          <t>Puntaje</t>
        </is>
      </c>
      <c r="H4" t="inlineStr">
        <is>
          <t>Casi siempre</t>
        </is>
      </c>
      <c r="I4" t="n">
        <v>3</v>
      </c>
      <c r="J4" t="n">
        <v>1</v>
      </c>
    </row>
    <row r="5">
      <c r="A5" s="5" t="n">
        <v>1</v>
      </c>
      <c r="B5" s="6" t="inlineStr">
        <is>
          <t>Mi trabajo me exige hacer mucho esfuerzo físico</t>
        </is>
      </c>
      <c r="C5" s="7" t="inlineStr">
        <is>
          <t>Normal</t>
        </is>
      </c>
      <c r="D5" s="8" t="n"/>
      <c r="E5" s="9">
        <f>IF($D5="","",VLOOKUP($D5,$H$3:$J$7,2,FALSE))</f>
        <v/>
      </c>
      <c r="H5" t="inlineStr">
        <is>
          <t>Algunas veces</t>
        </is>
      </c>
      <c r="I5" t="n">
        <v>2</v>
      </c>
      <c r="J5" t="n">
        <v>2</v>
      </c>
    </row>
    <row r="6">
      <c r="A6" s="5" t="n">
        <v>2</v>
      </c>
      <c r="B6" s="6" t="inlineStr">
        <is>
          <t>Me preocupa sufrir un accidente en mi trabajo</t>
        </is>
      </c>
      <c r="C6" s="7" t="inlineStr">
        <is>
          <t>Normal</t>
        </is>
      </c>
      <c r="D6" s="8" t="n"/>
      <c r="E6" s="9">
        <f>IF($D6="","",VLOOKUP($D6,$H$3:$J$7,2,FALSE))</f>
        <v/>
      </c>
      <c r="H6" t="inlineStr">
        <is>
          <t>Casi nunca</t>
        </is>
      </c>
      <c r="I6" t="n">
        <v>1</v>
      </c>
      <c r="J6" t="n">
        <v>3</v>
      </c>
    </row>
    <row r="7">
      <c r="A7" s="5" t="n">
        <v>3</v>
      </c>
      <c r="B7" s="6" t="inlineStr">
        <is>
          <t>Considero que las actividades que realizo son peligrosas</t>
        </is>
      </c>
      <c r="C7" s="7" t="inlineStr">
        <is>
          <t>Normal</t>
        </is>
      </c>
      <c r="D7" s="8" t="n"/>
      <c r="E7" s="9">
        <f>IF($D7="","",VLOOKUP($D7,$H$3:$J$7,2,FALSE))</f>
        <v/>
      </c>
      <c r="H7" t="inlineStr">
        <is>
          <t>Nunca</t>
        </is>
      </c>
      <c r="I7" t="n">
        <v>0</v>
      </c>
      <c r="J7" t="n">
        <v>4</v>
      </c>
    </row>
    <row r="8">
      <c r="A8" s="5" t="n">
        <v>4</v>
      </c>
      <c r="B8" s="6" t="inlineStr">
        <is>
          <t>Por la cantidad de trabajo que tengo debo quedarme tiempo adicional a mi turno</t>
        </is>
      </c>
      <c r="C8" s="7" t="inlineStr">
        <is>
          <t>Normal</t>
        </is>
      </c>
      <c r="D8" s="8" t="n"/>
      <c r="E8" s="9">
        <f>IF($D8="","",VLOOKUP($D8,$H$3:$J$7,2,FALSE))</f>
        <v/>
      </c>
    </row>
    <row r="9">
      <c r="A9" s="5" t="n">
        <v>5</v>
      </c>
      <c r="B9" s="6" t="inlineStr">
        <is>
          <t>Por la cantidad de trabajo que tengo debo trabajar sin parar</t>
        </is>
      </c>
      <c r="C9" s="7" t="inlineStr">
        <is>
          <t>Normal</t>
        </is>
      </c>
      <c r="D9" s="8" t="n"/>
      <c r="E9" s="9">
        <f>IF($D9="","",VLOOKUP($D9,$H$3:$J$7,2,FALSE))</f>
        <v/>
      </c>
    </row>
    <row r="10">
      <c r="A10" s="5" t="n">
        <v>6</v>
      </c>
      <c r="B10" s="6" t="inlineStr">
        <is>
          <t>Considero que es necesario mantener un ritmo de trabajo acelerado</t>
        </is>
      </c>
      <c r="C10" s="7" t="inlineStr">
        <is>
          <t>Normal</t>
        </is>
      </c>
      <c r="D10" s="8" t="n"/>
      <c r="E10" s="9">
        <f>IF($D10="","",VLOOKUP($D10,$H$3:$J$7,2,FALSE))</f>
        <v/>
      </c>
    </row>
    <row r="11">
      <c r="A11" s="5" t="n">
        <v>7</v>
      </c>
      <c r="B11" s="6" t="inlineStr">
        <is>
          <t>Mi trabajo exige que esté muy concentrado</t>
        </is>
      </c>
      <c r="C11" s="7" t="inlineStr">
        <is>
          <t>Normal</t>
        </is>
      </c>
      <c r="D11" s="8" t="n"/>
      <c r="E11" s="9">
        <f>IF($D11="","",VLOOKUP($D11,$H$3:$J$7,2,FALSE))</f>
        <v/>
      </c>
    </row>
    <row r="12">
      <c r="A12" s="5" t="n">
        <v>8</v>
      </c>
      <c r="B12" s="6" t="inlineStr">
        <is>
          <t>Mi trabajo requiere que memorice mucha información</t>
        </is>
      </c>
      <c r="C12" s="7" t="inlineStr">
        <is>
          <t>Normal</t>
        </is>
      </c>
      <c r="D12" s="8" t="n"/>
      <c r="E12" s="9">
        <f>IF($D12="","",VLOOKUP($D12,$H$3:$J$7,2,FALSE))</f>
        <v/>
      </c>
    </row>
    <row r="13">
      <c r="A13" s="5" t="n">
        <v>9</v>
      </c>
      <c r="B13" s="6" t="inlineStr">
        <is>
          <t>Mi trabajo exige que atienda varios asuntos al mismo tiempo</t>
        </is>
      </c>
      <c r="C13" s="7" t="inlineStr">
        <is>
          <t>Normal</t>
        </is>
      </c>
      <c r="D13" s="8" t="n"/>
      <c r="E13" s="9">
        <f>IF($D13="","",VLOOKUP($D13,$H$3:$J$7,2,FALSE))</f>
        <v/>
      </c>
    </row>
    <row r="14">
      <c r="A14" s="5" t="n">
        <v>10</v>
      </c>
      <c r="B14" s="6" t="inlineStr">
        <is>
          <t>En mi trabajo soy responsable de cosas de mucho valor</t>
        </is>
      </c>
      <c r="C14" s="7" t="inlineStr">
        <is>
          <t>Normal</t>
        </is>
      </c>
      <c r="D14" s="8" t="n"/>
      <c r="E14" s="9">
        <f>IF($D14="","",VLOOKUP($D14,$H$3:$J$7,2,FALSE))</f>
        <v/>
      </c>
    </row>
    <row r="15">
      <c r="A15" s="5" t="n">
        <v>11</v>
      </c>
      <c r="B15" s="6" t="inlineStr">
        <is>
          <t>Respondo ante mi jefe por los resultados de toda mi área de trabajo</t>
        </is>
      </c>
      <c r="C15" s="7" t="inlineStr">
        <is>
          <t>Normal</t>
        </is>
      </c>
      <c r="D15" s="8" t="n"/>
      <c r="E15" s="9">
        <f>IF($D15="","",VLOOKUP($D15,$H$3:$J$7,2,FALSE))</f>
        <v/>
      </c>
    </row>
    <row r="16">
      <c r="A16" s="5" t="n">
        <v>12</v>
      </c>
      <c r="B16" s="6" t="inlineStr">
        <is>
          <t>En mi trabajo me dan órdenes contradictorias</t>
        </is>
      </c>
      <c r="C16" s="7" t="inlineStr">
        <is>
          <t>Normal</t>
        </is>
      </c>
      <c r="D16" s="8" t="n"/>
      <c r="E16" s="9">
        <f>IF($D16="","",VLOOKUP($D16,$H$3:$J$7,2,FALSE))</f>
        <v/>
      </c>
    </row>
    <row r="17">
      <c r="A17" s="5" t="n">
        <v>13</v>
      </c>
      <c r="B17" s="6" t="inlineStr">
        <is>
          <t>Considero que en mi trabajo me piden hacer cosas innecesarias</t>
        </is>
      </c>
      <c r="C17" s="7" t="inlineStr">
        <is>
          <t>Normal</t>
        </is>
      </c>
      <c r="D17" s="8" t="n"/>
      <c r="E17" s="9">
        <f>IF($D17="","",VLOOKUP($D17,$H$3:$J$7,2,FALSE))</f>
        <v/>
      </c>
    </row>
    <row r="18">
      <c r="A18" s="5" t="n">
        <v>14</v>
      </c>
      <c r="B18" s="6" t="inlineStr">
        <is>
          <t>Trabajo horas extras más de tres veces a la semana</t>
        </is>
      </c>
      <c r="C18" s="7" t="inlineStr">
        <is>
          <t>Normal</t>
        </is>
      </c>
      <c r="D18" s="8" t="n"/>
      <c r="E18" s="9">
        <f>IF($D18="","",VLOOKUP($D18,$H$3:$J$7,2,FALSE))</f>
        <v/>
      </c>
    </row>
    <row r="19">
      <c r="A19" s="5" t="n">
        <v>15</v>
      </c>
      <c r="B19" s="6" t="inlineStr">
        <is>
          <t>Mi trabajo me exige laborar en días de descanso, festivos o fines de semana</t>
        </is>
      </c>
      <c r="C19" s="7" t="inlineStr">
        <is>
          <t>Normal</t>
        </is>
      </c>
      <c r="D19" s="8" t="n"/>
      <c r="E19" s="9">
        <f>IF($D19="","",VLOOKUP($D19,$H$3:$J$7,2,FALSE))</f>
        <v/>
      </c>
    </row>
    <row r="20">
      <c r="A20" s="5" t="n">
        <v>16</v>
      </c>
      <c r="B20" s="6" t="inlineStr">
        <is>
          <t>Considero que el tiempo en el trabajo es mucho y perjudica mis actividades familiares o personales</t>
        </is>
      </c>
      <c r="C20" s="7" t="inlineStr">
        <is>
          <t>Normal</t>
        </is>
      </c>
      <c r="D20" s="8" t="n"/>
      <c r="E20" s="9">
        <f>IF($D20="","",VLOOKUP($D20,$H$3:$J$7,2,FALSE))</f>
        <v/>
      </c>
    </row>
    <row r="21">
      <c r="A21" s="5" t="n">
        <v>17</v>
      </c>
      <c r="B21" s="6" t="inlineStr">
        <is>
          <t>Pienso en las actividades familiares o personales cuando estoy en mi trabajo</t>
        </is>
      </c>
      <c r="C21" s="7" t="inlineStr">
        <is>
          <t>Normal</t>
        </is>
      </c>
      <c r="D21" s="8" t="n"/>
      <c r="E21" s="9">
        <f>IF($D21="","",VLOOKUP($D21,$H$3:$J$7,2,FALSE))</f>
        <v/>
      </c>
    </row>
    <row r="22">
      <c r="A22" s="5" t="n">
        <v>18</v>
      </c>
      <c r="B22" s="6" t="inlineStr">
        <is>
          <t>Mi trabajo permite que desarrolle nuevas habilidades</t>
        </is>
      </c>
      <c r="C22" s="7" t="inlineStr">
        <is>
          <t>Inverso</t>
        </is>
      </c>
      <c r="D22" s="8" t="n"/>
      <c r="E22" s="9">
        <f>IF($D22="","",VLOOKUP($D22,$H$3:$J$7,3,FALSE))</f>
        <v/>
      </c>
    </row>
    <row r="23">
      <c r="A23" s="5" t="n">
        <v>19</v>
      </c>
      <c r="B23" s="6" t="inlineStr">
        <is>
          <t>En mi trabajo puedo aspirar a un mejor puesto</t>
        </is>
      </c>
      <c r="C23" s="7" t="inlineStr">
        <is>
          <t>Inverso</t>
        </is>
      </c>
      <c r="D23" s="8" t="n"/>
      <c r="E23" s="9">
        <f>IF($D23="","",VLOOKUP($D23,$H$3:$J$7,3,FALSE))</f>
        <v/>
      </c>
    </row>
    <row r="24">
      <c r="A24" s="5" t="n">
        <v>20</v>
      </c>
      <c r="B24" s="6" t="inlineStr">
        <is>
          <t>Durante mi jornada de trabajo puedo tomar pausas cuando las necesito</t>
        </is>
      </c>
      <c r="C24" s="7" t="inlineStr">
        <is>
          <t>Inverso</t>
        </is>
      </c>
      <c r="D24" s="8" t="n"/>
      <c r="E24" s="9">
        <f>IF($D24="","",VLOOKUP($D24,$H$3:$J$7,3,FALSE))</f>
        <v/>
      </c>
    </row>
    <row r="25">
      <c r="A25" s="5" t="n">
        <v>21</v>
      </c>
      <c r="B25" s="6" t="inlineStr">
        <is>
          <t>Puedo decidir la velocidad a la que realizo mis actividades en mi trabajo</t>
        </is>
      </c>
      <c r="C25" s="7" t="inlineStr">
        <is>
          <t>Inverso</t>
        </is>
      </c>
      <c r="D25" s="8" t="n"/>
      <c r="E25" s="9">
        <f>IF($D25="","",VLOOKUP($D25,$H$3:$J$7,3,FALSE))</f>
        <v/>
      </c>
    </row>
    <row r="26">
      <c r="A26" s="5" t="n">
        <v>22</v>
      </c>
      <c r="B26" s="6" t="inlineStr">
        <is>
          <t>Puedo cambiar el orden de las actividades que realizo en mi trabajo</t>
        </is>
      </c>
      <c r="C26" s="7" t="inlineStr">
        <is>
          <t>Inverso</t>
        </is>
      </c>
      <c r="D26" s="8" t="n"/>
      <c r="E26" s="9">
        <f>IF($D26="","",VLOOKUP($D26,$H$3:$J$7,3,FALSE))</f>
        <v/>
      </c>
    </row>
    <row r="27">
      <c r="A27" s="5" t="n">
        <v>23</v>
      </c>
      <c r="B27" s="6" t="inlineStr">
        <is>
          <t>Me informan con claridad cuáles son mis funciones</t>
        </is>
      </c>
      <c r="C27" s="7" t="inlineStr">
        <is>
          <t>Inverso</t>
        </is>
      </c>
      <c r="D27" s="8" t="n"/>
      <c r="E27" s="9">
        <f>IF($D27="","",VLOOKUP($D27,$H$3:$J$7,3,FALSE))</f>
        <v/>
      </c>
    </row>
    <row r="28">
      <c r="A28" s="5" t="n">
        <v>24</v>
      </c>
      <c r="B28" s="6" t="inlineStr">
        <is>
          <t>Me explican claramente los resultados que debo obtener en mi trabajo</t>
        </is>
      </c>
      <c r="C28" s="7" t="inlineStr">
        <is>
          <t>Inverso</t>
        </is>
      </c>
      <c r="D28" s="8" t="n"/>
      <c r="E28" s="9">
        <f>IF($D28="","",VLOOKUP($D28,$H$3:$J$7,3,FALSE))</f>
        <v/>
      </c>
    </row>
    <row r="29">
      <c r="A29" s="5" t="n">
        <v>25</v>
      </c>
      <c r="B29" s="6" t="inlineStr">
        <is>
          <t>Me informan con quién puedo resolver problemas o asuntos de trabajo</t>
        </is>
      </c>
      <c r="C29" s="7" t="inlineStr">
        <is>
          <t>Inverso</t>
        </is>
      </c>
      <c r="D29" s="8" t="n"/>
      <c r="E29" s="9">
        <f>IF($D29="","",VLOOKUP($D29,$H$3:$J$7,3,FALSE))</f>
        <v/>
      </c>
    </row>
    <row r="30">
      <c r="A30" s="5" t="n">
        <v>26</v>
      </c>
      <c r="B30" s="6" t="inlineStr">
        <is>
          <t>Me permiten asistir a capacitaciones relacionadas con mi trabajo</t>
        </is>
      </c>
      <c r="C30" s="7" t="inlineStr">
        <is>
          <t>Inverso</t>
        </is>
      </c>
      <c r="D30" s="8" t="n"/>
      <c r="E30" s="9">
        <f>IF($D30="","",VLOOKUP($D30,$H$3:$J$7,3,FALSE))</f>
        <v/>
      </c>
    </row>
    <row r="31">
      <c r="A31" s="5" t="n">
        <v>27</v>
      </c>
      <c r="B31" s="6" t="inlineStr">
        <is>
          <t>Recibo capacitación útil para hacer mi trabajo</t>
        </is>
      </c>
      <c r="C31" s="7" t="inlineStr">
        <is>
          <t>Inverso</t>
        </is>
      </c>
      <c r="D31" s="8" t="n"/>
      <c r="E31" s="9">
        <f>IF($D31="","",VLOOKUP($D31,$H$3:$J$7,3,FALSE))</f>
        <v/>
      </c>
    </row>
    <row r="32">
      <c r="A32" s="5" t="n">
        <v>28</v>
      </c>
      <c r="B32" s="6" t="inlineStr">
        <is>
          <t>Mi jefe tiene en cuenta mis puntos de vista y opiniones</t>
        </is>
      </c>
      <c r="C32" s="7" t="inlineStr">
        <is>
          <t>Inverso</t>
        </is>
      </c>
      <c r="D32" s="8" t="n"/>
      <c r="E32" s="9">
        <f>IF($D32="","",VLOOKUP($D32,$H$3:$J$7,3,FALSE))</f>
        <v/>
      </c>
    </row>
    <row r="33">
      <c r="A33" s="5" t="n">
        <v>29</v>
      </c>
      <c r="B33" s="6" t="inlineStr">
        <is>
          <t>Mi jefe ayuda a solucionar los problemas que se presentan en el trabajo</t>
        </is>
      </c>
      <c r="C33" s="7" t="inlineStr">
        <is>
          <t>Inverso</t>
        </is>
      </c>
      <c r="D33" s="8" t="n"/>
      <c r="E33" s="9">
        <f>IF($D33="","",VLOOKUP($D33,$H$3:$J$7,3,FALSE))</f>
        <v/>
      </c>
    </row>
    <row r="34">
      <c r="A34" s="5" t="n">
        <v>30</v>
      </c>
      <c r="B34" s="6" t="inlineStr">
        <is>
          <t>Puedo confiar en mis compañeros de trabajo</t>
        </is>
      </c>
      <c r="C34" s="7" t="inlineStr">
        <is>
          <t>Inverso</t>
        </is>
      </c>
      <c r="D34" s="8" t="n"/>
      <c r="E34" s="9">
        <f>IF($D34="","",VLOOKUP($D34,$H$3:$J$7,3,FALSE))</f>
        <v/>
      </c>
    </row>
    <row r="35">
      <c r="A35" s="5" t="n">
        <v>31</v>
      </c>
      <c r="B35" s="6" t="inlineStr">
        <is>
          <t>Cuando tenemos que realizar trabajo de equipo los compañeros colaboran</t>
        </is>
      </c>
      <c r="C35" s="7" t="inlineStr">
        <is>
          <t>Inverso</t>
        </is>
      </c>
      <c r="D35" s="8" t="n"/>
      <c r="E35" s="9">
        <f>IF($D35="","",VLOOKUP($D35,$H$3:$J$7,3,FALSE))</f>
        <v/>
      </c>
    </row>
    <row r="36">
      <c r="A36" s="5" t="n">
        <v>32</v>
      </c>
      <c r="B36" s="6" t="inlineStr">
        <is>
          <t>Mis compañeros de trabajo me ayudan cuando tengo dificultades</t>
        </is>
      </c>
      <c r="C36" s="7" t="inlineStr">
        <is>
          <t>Inverso</t>
        </is>
      </c>
      <c r="D36" s="8" t="n"/>
      <c r="E36" s="9">
        <f>IF($D36="","",VLOOKUP($D36,$H$3:$J$7,3,FALSE))</f>
        <v/>
      </c>
    </row>
    <row r="37">
      <c r="A37" s="5" t="n">
        <v>33</v>
      </c>
      <c r="B37" s="6" t="inlineStr">
        <is>
          <t>En mi trabajo puedo expresarme libremente sin interrupciones</t>
        </is>
      </c>
      <c r="C37" s="7" t="inlineStr">
        <is>
          <t>Inverso</t>
        </is>
      </c>
      <c r="D37" s="8" t="n"/>
      <c r="E37" s="9">
        <f>IF($D37="","",VLOOKUP($D37,$H$3:$J$7,3,FALSE))</f>
        <v/>
      </c>
    </row>
    <row r="38">
      <c r="A38" s="5" t="n">
        <v>34</v>
      </c>
      <c r="B38" s="6" t="inlineStr">
        <is>
          <t>Recibo críticas constantes a mi persona y/o trabajo</t>
        </is>
      </c>
      <c r="C38" s="7" t="inlineStr">
        <is>
          <t>Normal</t>
        </is>
      </c>
      <c r="D38" s="8" t="n"/>
      <c r="E38" s="9">
        <f>IF($D38="","",VLOOKUP($D38,$H$3:$J$7,2,FALSE))</f>
        <v/>
      </c>
    </row>
    <row r="39">
      <c r="A39" s="5" t="n">
        <v>35</v>
      </c>
      <c r="B39" s="6" t="inlineStr">
        <is>
          <t>Recibo burlas, calumnias, difamaciones, humillaciones o ridiculizaciones</t>
        </is>
      </c>
      <c r="C39" s="7" t="inlineStr">
        <is>
          <t>Normal</t>
        </is>
      </c>
      <c r="D39" s="8" t="n"/>
      <c r="E39" s="9">
        <f>IF($D39="","",VLOOKUP($D39,$H$3:$J$7,2,FALSE))</f>
        <v/>
      </c>
    </row>
    <row r="40">
      <c r="A40" s="5" t="n">
        <v>36</v>
      </c>
      <c r="B40" s="6" t="inlineStr">
        <is>
          <t>Se ignora mi presencia o se me excluye de las reuniones de trabajo y en la toma de decisiones</t>
        </is>
      </c>
      <c r="C40" s="7" t="inlineStr">
        <is>
          <t>Normal</t>
        </is>
      </c>
      <c r="D40" s="8" t="n"/>
      <c r="E40" s="9">
        <f>IF($D40="","",VLOOKUP($D40,$H$3:$J$7,2,FALSE))</f>
        <v/>
      </c>
    </row>
    <row r="41">
      <c r="A41" s="5" t="n">
        <v>37</v>
      </c>
      <c r="B41" s="6" t="inlineStr">
        <is>
          <t>Se manipulan las situaciones de trabajo para hacerme parecer un mal trabajador</t>
        </is>
      </c>
      <c r="C41" s="7" t="inlineStr">
        <is>
          <t>Normal</t>
        </is>
      </c>
      <c r="D41" s="8" t="n"/>
      <c r="E41" s="9">
        <f>IF($D41="","",VLOOKUP($D41,$H$3:$J$7,2,FALSE))</f>
        <v/>
      </c>
    </row>
    <row r="42">
      <c r="A42" s="5" t="n">
        <v>38</v>
      </c>
      <c r="B42" s="6" t="inlineStr">
        <is>
          <t>Se ignoran mis éxitos laborales y se atribuyen a otros trabajadores</t>
        </is>
      </c>
      <c r="C42" s="7" t="inlineStr">
        <is>
          <t>Normal</t>
        </is>
      </c>
      <c r="D42" s="8" t="n"/>
      <c r="E42" s="9">
        <f>IF($D42="","",VLOOKUP($D42,$H$3:$J$7,2,FALSE))</f>
        <v/>
      </c>
    </row>
    <row r="43">
      <c r="A43" s="5" t="n">
        <v>39</v>
      </c>
      <c r="B43" s="6" t="inlineStr">
        <is>
          <t>Me bloquean o impiden las oportunidades que tengo para obtener ascenso o mejora en mi trabajo</t>
        </is>
      </c>
      <c r="C43" s="7" t="inlineStr">
        <is>
          <t>Normal</t>
        </is>
      </c>
      <c r="D43" s="8" t="n"/>
      <c r="E43" s="9">
        <f>IF($D43="","",VLOOKUP($D43,$H$3:$J$7,2,FALSE))</f>
        <v/>
      </c>
    </row>
    <row r="44">
      <c r="A44" s="5" t="n">
        <v>40</v>
      </c>
      <c r="B44" s="6" t="inlineStr">
        <is>
          <t>He presenciado actos de violencia en mi centro de trabajo</t>
        </is>
      </c>
      <c r="C44" s="7" t="inlineStr">
        <is>
          <t>Normal</t>
        </is>
      </c>
      <c r="D44" s="8" t="n"/>
      <c r="E44" s="9">
        <f>IF($D44="","",VLOOKUP($D44,$H$3:$J$7,2,FALSE))</f>
        <v/>
      </c>
    </row>
    <row r="45">
      <c r="A45" s="5" t="n">
        <v>41</v>
      </c>
      <c r="B45" s="6" t="inlineStr">
        <is>
          <t>Atiendo clientes o usuarios muy enojados</t>
        </is>
      </c>
      <c r="C45" s="7" t="inlineStr">
        <is>
          <t>Normal</t>
        </is>
      </c>
      <c r="D45" s="8" t="n"/>
      <c r="E45" s="9">
        <f>IF($D45="","",VLOOKUP($D45,$H$3:$J$7,2,FALSE))</f>
        <v/>
      </c>
    </row>
    <row r="46">
      <c r="A46" s="5" t="n">
        <v>42</v>
      </c>
      <c r="B46" s="6" t="inlineStr">
        <is>
          <t>Mi trabajo me exige atender personas muy necesitadas de ayuda o enfermas</t>
        </is>
      </c>
      <c r="C46" s="7" t="inlineStr">
        <is>
          <t>Normal</t>
        </is>
      </c>
      <c r="D46" s="8" t="n"/>
      <c r="E46" s="9">
        <f>IF($D46="","",VLOOKUP($D46,$H$3:$J$7,2,FALSE))</f>
        <v/>
      </c>
    </row>
    <row r="47">
      <c r="A47" s="5" t="n">
        <v>43</v>
      </c>
      <c r="B47" s="6" t="inlineStr">
        <is>
          <t>Para hacer mi trabajo debo demostrar sentimientos distintos a los míos</t>
        </is>
      </c>
      <c r="C47" s="7" t="inlineStr">
        <is>
          <t>Normal</t>
        </is>
      </c>
      <c r="D47" s="8" t="n"/>
      <c r="E47" s="9">
        <f>IF($D47="","",VLOOKUP($D47,$H$3:$J$7,2,FALSE))</f>
        <v/>
      </c>
    </row>
    <row r="48">
      <c r="A48" s="5" t="n">
        <v>44</v>
      </c>
      <c r="B48" s="6" t="inlineStr">
        <is>
          <t>Comunican tarde los asuntos de trabajo</t>
        </is>
      </c>
      <c r="C48" s="7" t="inlineStr">
        <is>
          <t>Normal</t>
        </is>
      </c>
      <c r="D48" s="8" t="n"/>
      <c r="E48" s="9">
        <f>IF($D48="","",VLOOKUP($D48,$H$3:$J$7,2,FALSE))</f>
        <v/>
      </c>
    </row>
    <row r="49">
      <c r="A49" s="5" t="n">
        <v>45</v>
      </c>
      <c r="B49" s="6" t="inlineStr">
        <is>
          <t>Dificultan el logro de los resultados del trabajo</t>
        </is>
      </c>
      <c r="C49" s="7" t="inlineStr">
        <is>
          <t>Normal</t>
        </is>
      </c>
      <c r="D49" s="8" t="n"/>
      <c r="E49" s="9">
        <f>IF($D49="","",VLOOKUP($D49,$H$3:$J$7,2,FALSE))</f>
        <v/>
      </c>
    </row>
    <row r="50">
      <c r="A50" s="5" t="n">
        <v>46</v>
      </c>
      <c r="B50" s="6" t="inlineStr">
        <is>
          <t>Ignoran las sugerencias para mejorar su trabajo</t>
        </is>
      </c>
      <c r="C50" s="7" t="inlineStr">
        <is>
          <t>Normal</t>
        </is>
      </c>
      <c r="D50" s="8" t="n"/>
      <c r="E50" s="9">
        <f>IF($D50="","",VLOOKUP($D50,$H$3:$J$7,2,FALSE))</f>
        <v/>
      </c>
    </row>
    <row r="52">
      <c r="B52" s="10" t="inlineStr">
        <is>
          <t>Calificación final (Cfinal):</t>
        </is>
      </c>
      <c r="E52" s="11">
        <f>SUM(E5:E50)</f>
        <v/>
      </c>
    </row>
    <row r="53">
      <c r="B53" s="10" t="inlineStr">
        <is>
          <t>Nivel de riesgo:</t>
        </is>
      </c>
      <c r="E53" s="11">
        <f>IF(E52="","",IF(E52&lt;20,"Nulo o despreciable",IF(E52&lt;45,"Bajo",IF(E52&lt;70,"Medio",IF(E52&lt;90,"Alto","Muy alto")))))</f>
        <v/>
      </c>
    </row>
    <row r="54" ht="48" customHeight="1">
      <c r="B54" s="10" t="inlineStr">
        <is>
          <t>Acción requerida:</t>
        </is>
      </c>
      <c r="C54" s="12">
        <f>IF(E53="","",IF(E53="Nulo o despreciable","No se requieren medidas adicionales.",IF(E53="Bajo","Es necesaria una mayor difusión de la política de prevención y de los programas de prevención.",IF(E53="Medio","Revisar la política y los programas y reforzar su aplicación y difusión, mediante un Programa de intervención.",IF(E53="Alto","Analizar cada categoría y dominio y aplicar un Programa de intervención (puede incluir evaluación específica), además de revisar la política.","Analizar cada categoría y dominio y aplicar un Programa de intervención que debe incluir evaluaciones específicas y campañas de sensibilización, además de revisar la política.")))))</f>
        <v/>
      </c>
    </row>
    <row r="56">
      <c r="A56" s="13" t="inlineStr">
        <is>
          <t>Rangos de calificación final (Guía II, 46 reactivos): Nulo &lt;20  ·  Bajo 20–44  ·  Medio 45–69  ·  Alto 70–89  ·  Muy alto ≥90</t>
        </is>
      </c>
    </row>
    <row r="57" ht="28" customHeight="1">
      <c r="A57" s="13" t="inlineStr">
        <is>
          <t>"Normal": Siempre=4…Nunca=0.  "Inverso" (reactivos positivos): Siempre=0…Nunca=4.  El análisis por categoría y dominio se realiza conforme a las tablas de la NOM-035. Complemente con el anexo neurodivergente (F-18).</t>
        </is>
      </c>
    </row>
  </sheetData>
  <mergeCells count="5">
    <mergeCell ref="C54:E54"/>
    <mergeCell ref="A57:E57"/>
    <mergeCell ref="A2:E2"/>
    <mergeCell ref="A1:E1"/>
    <mergeCell ref="A56:E56"/>
  </mergeCells>
  <dataValidations count="1">
    <dataValidation sqref="D5 D6 D7 D8 D9 D10 D11 D12 D13 D14 D15 D16 D17 D18 D19 D20 D21 D22 D23 D24 D25 D26 D27 D28 D29 D30 D31 D32 D33 D34 D35 D36 D37 D38 D39 D40 D41 D42 D43 D44 D45 D46 D47 D48 D49 D50" showDropDown="0" showInputMessage="0" showErrorMessage="0" allowBlank="1" type="list">
      <formula1>"Siempre,Casi siempre,Algunas veces,Casi nunca,Nunca"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2026-08-16T09:26:10Z</dcterms:created>
  <dcterms:modified xmlns:dcterms="http://purl.org/dc/terms/" xmlns:xsi="http://www.w3.org/2001/XMLSchema-instance" xsi:type="dcterms:W3CDTF">2026-08-16T09:26:10Z</dcterms:modified>
</cp:coreProperties>
</file>