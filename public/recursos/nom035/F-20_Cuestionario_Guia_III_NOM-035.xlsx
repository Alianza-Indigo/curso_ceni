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estionario" sheetId="1" state="visible" r:id="rId1"/>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6A0DAD"/>
      <sz val="13"/>
    </font>
    <font>
      <name val="Arial"/>
      <i val="1"/>
      <color rgb="00666666"/>
      <sz val="9"/>
    </font>
    <font>
      <i val="1"/>
      <color rgb="00999999"/>
      <sz val="8"/>
    </font>
    <font>
      <name val="Arial"/>
      <b val="1"/>
      <color rgb="00FFFFFF"/>
      <sz val="10"/>
    </font>
    <font>
      <name val="Arial"/>
      <sz val="10"/>
    </font>
    <font>
      <name val="Arial"/>
      <color rgb="00999999"/>
      <sz val="8"/>
    </font>
    <font>
      <name val="Arial"/>
      <b val="1"/>
      <color rgb="004B0082"/>
      <sz val="11"/>
    </font>
    <font>
      <name val="Arial"/>
      <b val="1"/>
      <sz val="11"/>
    </font>
    <font>
      <name val="Arial"/>
      <sz val="9"/>
    </font>
    <font>
      <name val="Arial"/>
      <i val="1"/>
      <color rgb="00666666"/>
      <sz val="8"/>
    </font>
  </fonts>
  <fills count="3">
    <fill>
      <patternFill/>
    </fill>
    <fill>
      <patternFill patternType="gray125"/>
    </fill>
    <fill>
      <patternFill patternType="solid">
        <fgColor rgb="004B008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xf>
    <xf numFmtId="0" fontId="3" fillId="0" borderId="0" pivotButton="0" quotePrefix="0" xfId="0"/>
    <xf numFmtId="0" fontId="2" fillId="0" borderId="0" applyAlignment="1" pivotButton="0" quotePrefix="0" xfId="0">
      <alignment horizontal="center" wrapText="1"/>
    </xf>
    <xf numFmtId="0" fontId="4" fillId="2" borderId="1" applyAlignment="1" pivotButton="0" quotePrefix="0" xfId="0">
      <alignment vertical="top" wrapText="1"/>
    </xf>
    <xf numFmtId="0" fontId="5" fillId="0" borderId="1" applyAlignment="1" pivotButton="0" quotePrefix="0" xfId="0">
      <alignment vertical="top"/>
    </xf>
    <xf numFmtId="0" fontId="5" fillId="0"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horizontal="center"/>
    </xf>
    <xf numFmtId="0" fontId="5" fillId="0" borderId="1" applyAlignment="1" pivotButton="0" quotePrefix="0" xfId="0">
      <alignment horizontal="center"/>
    </xf>
    <xf numFmtId="0" fontId="7" fillId="0" borderId="0" pivotButton="0" quotePrefix="0" xfId="0"/>
    <xf numFmtId="0" fontId="8" fillId="0" borderId="1" applyAlignment="1" pivotButton="0" quotePrefix="0" xfId="0">
      <alignment horizontal="center"/>
    </xf>
    <xf numFmtId="0" fontId="9" fillId="0" borderId="0" applyAlignment="1" pivotButton="0" quotePrefix="0" xfId="0">
      <alignment vertical="top" wrapText="1"/>
    </xf>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3"/>
  <sheetViews>
    <sheetView workbookViewId="0">
      <pane ySplit="4" topLeftCell="A5" activePane="bottomLeft" state="frozen"/>
      <selection pane="bottomLeft" activeCell="A1" sqref="A1"/>
    </sheetView>
  </sheetViews>
  <sheetFormatPr baseColWidth="8" defaultRowHeight="15"/>
  <cols>
    <col width="4" customWidth="1" min="1" max="1"/>
    <col width="70" customWidth="1" min="2" max="2"/>
    <col width="11" customWidth="1" min="3" max="3"/>
    <col width="15" customWidth="1" min="4" max="4"/>
    <col width="9" customWidth="1" min="5" max="5"/>
    <col width="12" customWidth="1" min="8" max="8"/>
    <col width="12" customWidth="1" min="9" max="9"/>
    <col width="12" customWidth="1" min="10" max="10"/>
  </cols>
  <sheetData>
    <row r="1">
      <c r="A1" s="1" t="inlineStr">
        <is>
          <t>Cuestionario NOM-035 · Guía de Referencia III (más de 50 trabajadores) · F-20</t>
        </is>
      </c>
      <c r="H1" s="2" t="inlineStr">
        <is>
          <t>(mapa de puntaje — no modificar)</t>
        </is>
      </c>
    </row>
    <row r="2" ht="42" customHeight="1">
      <c r="A2" s="3" t="inlineStr">
        <is>
          <t>Instrumento oficial de la NOM-035-STPS-2018 (Guía III, 72 reactivos). Marque una opción por reactivo en la columna "Respuesta"; el puntaje y el nivel de riesgo se calculan automáticamente. Considere los dos últimos meses. No hay respuestas correctas o incorrectas.</t>
        </is>
      </c>
      <c r="H2" t="inlineStr">
        <is>
          <t>Opción</t>
        </is>
      </c>
      <c r="I2" t="inlineStr">
        <is>
          <t>Normal</t>
        </is>
      </c>
      <c r="J2" t="inlineStr">
        <is>
          <t>Inverso</t>
        </is>
      </c>
    </row>
    <row r="3">
      <c r="H3" t="inlineStr">
        <is>
          <t>Siempre</t>
        </is>
      </c>
      <c r="I3" t="n">
        <v>4</v>
      </c>
      <c r="J3" t="n">
        <v>0</v>
      </c>
    </row>
    <row r="4">
      <c r="A4" s="4" t="inlineStr">
        <is>
          <t>#</t>
        </is>
      </c>
      <c r="B4" s="4" t="inlineStr">
        <is>
          <t>Reactivo</t>
        </is>
      </c>
      <c r="C4" s="4" t="inlineStr">
        <is>
          <t>Puntuación</t>
        </is>
      </c>
      <c r="D4" s="4" t="inlineStr">
        <is>
          <t>Respuesta</t>
        </is>
      </c>
      <c r="E4" s="4" t="inlineStr">
        <is>
          <t>Puntaje</t>
        </is>
      </c>
      <c r="H4" t="inlineStr">
        <is>
          <t>Casi siempre</t>
        </is>
      </c>
      <c r="I4" t="n">
        <v>3</v>
      </c>
      <c r="J4" t="n">
        <v>1</v>
      </c>
    </row>
    <row r="5">
      <c r="A5" s="5" t="n">
        <v>1</v>
      </c>
      <c r="B5" s="6" t="inlineStr">
        <is>
          <t>El espacio donde trabajo me permite realizar mis actividades de manera segura e higiénica</t>
        </is>
      </c>
      <c r="C5" s="7" t="inlineStr">
        <is>
          <t>Inverso</t>
        </is>
      </c>
      <c r="D5" s="8" t="n"/>
      <c r="E5" s="9">
        <f>IF($D5="","",VLOOKUP($D5,$H$3:$J$7,3,FALSE))</f>
        <v/>
      </c>
      <c r="H5" t="inlineStr">
        <is>
          <t>Algunas veces</t>
        </is>
      </c>
      <c r="I5" t="n">
        <v>2</v>
      </c>
      <c r="J5" t="n">
        <v>2</v>
      </c>
    </row>
    <row r="6">
      <c r="A6" s="5" t="n">
        <v>2</v>
      </c>
      <c r="B6" s="6" t="inlineStr">
        <is>
          <t>Mi trabajo me exige hacer mucho esfuerzo físico</t>
        </is>
      </c>
      <c r="C6" s="7" t="inlineStr">
        <is>
          <t>Normal</t>
        </is>
      </c>
      <c r="D6" s="8" t="n"/>
      <c r="E6" s="9">
        <f>IF($D6="","",VLOOKUP($D6,$H$3:$J$7,2,FALSE))</f>
        <v/>
      </c>
      <c r="H6" t="inlineStr">
        <is>
          <t>Casi nunca</t>
        </is>
      </c>
      <c r="I6" t="n">
        <v>1</v>
      </c>
      <c r="J6" t="n">
        <v>3</v>
      </c>
    </row>
    <row r="7">
      <c r="A7" s="5" t="n">
        <v>3</v>
      </c>
      <c r="B7" s="6" t="inlineStr">
        <is>
          <t>Me preocupa sufrir un accidente en mi trabajo</t>
        </is>
      </c>
      <c r="C7" s="7" t="inlineStr">
        <is>
          <t>Normal</t>
        </is>
      </c>
      <c r="D7" s="8" t="n"/>
      <c r="E7" s="9">
        <f>IF($D7="","",VLOOKUP($D7,$H$3:$J$7,2,FALSE))</f>
        <v/>
      </c>
      <c r="H7" t="inlineStr">
        <is>
          <t>Nunca</t>
        </is>
      </c>
      <c r="I7" t="n">
        <v>0</v>
      </c>
      <c r="J7" t="n">
        <v>4</v>
      </c>
    </row>
    <row r="8">
      <c r="A8" s="5" t="n">
        <v>4</v>
      </c>
      <c r="B8" s="6" t="inlineStr">
        <is>
          <t>Considero que en mi trabajo se aplican las normas de seguridad y salud en el trabajo</t>
        </is>
      </c>
      <c r="C8" s="7" t="inlineStr">
        <is>
          <t>Inverso</t>
        </is>
      </c>
      <c r="D8" s="8" t="n"/>
      <c r="E8" s="9">
        <f>IF($D8="","",VLOOKUP($D8,$H$3:$J$7,3,FALSE))</f>
        <v/>
      </c>
    </row>
    <row r="9">
      <c r="A9" s="5" t="n">
        <v>5</v>
      </c>
      <c r="B9" s="6" t="inlineStr">
        <is>
          <t>Considero que las actividades que realizo son peligrosas</t>
        </is>
      </c>
      <c r="C9" s="7" t="inlineStr">
        <is>
          <t>Normal</t>
        </is>
      </c>
      <c r="D9" s="8" t="n"/>
      <c r="E9" s="9">
        <f>IF($D9="","",VLOOKUP($D9,$H$3:$J$7,2,FALSE))</f>
        <v/>
      </c>
    </row>
    <row r="10">
      <c r="A10" s="5" t="n">
        <v>6</v>
      </c>
      <c r="B10" s="6" t="inlineStr">
        <is>
          <t>Por la cantidad de trabajo que tengo debo quedarme tiempo adicional a mi turno</t>
        </is>
      </c>
      <c r="C10" s="7" t="inlineStr">
        <is>
          <t>Normal</t>
        </is>
      </c>
      <c r="D10" s="8" t="n"/>
      <c r="E10" s="9">
        <f>IF($D10="","",VLOOKUP($D10,$H$3:$J$7,2,FALSE))</f>
        <v/>
      </c>
    </row>
    <row r="11">
      <c r="A11" s="5" t="n">
        <v>7</v>
      </c>
      <c r="B11" s="6" t="inlineStr">
        <is>
          <t>Por la cantidad de trabajo que tengo debo trabajar sin parar</t>
        </is>
      </c>
      <c r="C11" s="7" t="inlineStr">
        <is>
          <t>Normal</t>
        </is>
      </c>
      <c r="D11" s="8" t="n"/>
      <c r="E11" s="9">
        <f>IF($D11="","",VLOOKUP($D11,$H$3:$J$7,2,FALSE))</f>
        <v/>
      </c>
    </row>
    <row r="12">
      <c r="A12" s="5" t="n">
        <v>8</v>
      </c>
      <c r="B12" s="6" t="inlineStr">
        <is>
          <t>Considero que es necesario mantener un ritmo de trabajo acelerado</t>
        </is>
      </c>
      <c r="C12" s="7" t="inlineStr">
        <is>
          <t>Normal</t>
        </is>
      </c>
      <c r="D12" s="8" t="n"/>
      <c r="E12" s="9">
        <f>IF($D12="","",VLOOKUP($D12,$H$3:$J$7,2,FALSE))</f>
        <v/>
      </c>
    </row>
    <row r="13">
      <c r="A13" s="5" t="n">
        <v>9</v>
      </c>
      <c r="B13" s="6" t="inlineStr">
        <is>
          <t>Mi trabajo exige que esté muy concentrado</t>
        </is>
      </c>
      <c r="C13" s="7" t="inlineStr">
        <is>
          <t>Normal</t>
        </is>
      </c>
      <c r="D13" s="8" t="n"/>
      <c r="E13" s="9">
        <f>IF($D13="","",VLOOKUP($D13,$H$3:$J$7,2,FALSE))</f>
        <v/>
      </c>
    </row>
    <row r="14">
      <c r="A14" s="5" t="n">
        <v>10</v>
      </c>
      <c r="B14" s="6" t="inlineStr">
        <is>
          <t>Mi trabajo requiere que memorice mucha información</t>
        </is>
      </c>
      <c r="C14" s="7" t="inlineStr">
        <is>
          <t>Normal</t>
        </is>
      </c>
      <c r="D14" s="8" t="n"/>
      <c r="E14" s="9">
        <f>IF($D14="","",VLOOKUP($D14,$H$3:$J$7,2,FALSE))</f>
        <v/>
      </c>
    </row>
    <row r="15">
      <c r="A15" s="5" t="n">
        <v>11</v>
      </c>
      <c r="B15" s="6" t="inlineStr">
        <is>
          <t>En mi trabajo tengo que tomar decisiones difíciles muy rápido</t>
        </is>
      </c>
      <c r="C15" s="7" t="inlineStr">
        <is>
          <t>Normal</t>
        </is>
      </c>
      <c r="D15" s="8" t="n"/>
      <c r="E15" s="9">
        <f>IF($D15="","",VLOOKUP($D15,$H$3:$J$7,2,FALSE))</f>
        <v/>
      </c>
    </row>
    <row r="16">
      <c r="A16" s="5" t="n">
        <v>12</v>
      </c>
      <c r="B16" s="6" t="inlineStr">
        <is>
          <t>Mi trabajo exige que atienda varios asuntos al mismo tiempo</t>
        </is>
      </c>
      <c r="C16" s="7" t="inlineStr">
        <is>
          <t>Normal</t>
        </is>
      </c>
      <c r="D16" s="8" t="n"/>
      <c r="E16" s="9">
        <f>IF($D16="","",VLOOKUP($D16,$H$3:$J$7,2,FALSE))</f>
        <v/>
      </c>
    </row>
    <row r="17">
      <c r="A17" s="5" t="n">
        <v>13</v>
      </c>
      <c r="B17" s="6" t="inlineStr">
        <is>
          <t>En mi trabajo soy responsable de cosas de mucho valor</t>
        </is>
      </c>
      <c r="C17" s="7" t="inlineStr">
        <is>
          <t>Normal</t>
        </is>
      </c>
      <c r="D17" s="8" t="n"/>
      <c r="E17" s="9">
        <f>IF($D17="","",VLOOKUP($D17,$H$3:$J$7,2,FALSE))</f>
        <v/>
      </c>
    </row>
    <row r="18">
      <c r="A18" s="5" t="n">
        <v>14</v>
      </c>
      <c r="B18" s="6" t="inlineStr">
        <is>
          <t>Respondo ante mi jefe por los resultados de toda mi área de trabajo</t>
        </is>
      </c>
      <c r="C18" s="7" t="inlineStr">
        <is>
          <t>Normal</t>
        </is>
      </c>
      <c r="D18" s="8" t="n"/>
      <c r="E18" s="9">
        <f>IF($D18="","",VLOOKUP($D18,$H$3:$J$7,2,FALSE))</f>
        <v/>
      </c>
    </row>
    <row r="19">
      <c r="A19" s="5" t="n">
        <v>15</v>
      </c>
      <c r="B19" s="6" t="inlineStr">
        <is>
          <t>En el trabajo me dan órdenes contradictorias</t>
        </is>
      </c>
      <c r="C19" s="7" t="inlineStr">
        <is>
          <t>Normal</t>
        </is>
      </c>
      <c r="D19" s="8" t="n"/>
      <c r="E19" s="9">
        <f>IF($D19="","",VLOOKUP($D19,$H$3:$J$7,2,FALSE))</f>
        <v/>
      </c>
    </row>
    <row r="20">
      <c r="A20" s="5" t="n">
        <v>16</v>
      </c>
      <c r="B20" s="6" t="inlineStr">
        <is>
          <t>Considero que en mi trabajo me piden hacer cosas innecesarias</t>
        </is>
      </c>
      <c r="C20" s="7" t="inlineStr">
        <is>
          <t>Normal</t>
        </is>
      </c>
      <c r="D20" s="8" t="n"/>
      <c r="E20" s="9">
        <f>IF($D20="","",VLOOKUP($D20,$H$3:$J$7,2,FALSE))</f>
        <v/>
      </c>
    </row>
    <row r="21">
      <c r="A21" s="5" t="n">
        <v>17</v>
      </c>
      <c r="B21" s="6" t="inlineStr">
        <is>
          <t>Trabajo horas extras más de tres veces a la semana</t>
        </is>
      </c>
      <c r="C21" s="7" t="inlineStr">
        <is>
          <t>Normal</t>
        </is>
      </c>
      <c r="D21" s="8" t="n"/>
      <c r="E21" s="9">
        <f>IF($D21="","",VLOOKUP($D21,$H$3:$J$7,2,FALSE))</f>
        <v/>
      </c>
    </row>
    <row r="22">
      <c r="A22" s="5" t="n">
        <v>18</v>
      </c>
      <c r="B22" s="6" t="inlineStr">
        <is>
          <t>Mi trabajo me exige laborar en días de descanso, festivos o fines de semana</t>
        </is>
      </c>
      <c r="C22" s="7" t="inlineStr">
        <is>
          <t>Normal</t>
        </is>
      </c>
      <c r="D22" s="8" t="n"/>
      <c r="E22" s="9">
        <f>IF($D22="","",VLOOKUP($D22,$H$3:$J$7,2,FALSE))</f>
        <v/>
      </c>
    </row>
    <row r="23">
      <c r="A23" s="5" t="n">
        <v>19</v>
      </c>
      <c r="B23" s="6" t="inlineStr">
        <is>
          <t>Considero que el tiempo en el trabajo es mucho y perjudica mis actividades familiares o personales</t>
        </is>
      </c>
      <c r="C23" s="7" t="inlineStr">
        <is>
          <t>Normal</t>
        </is>
      </c>
      <c r="D23" s="8" t="n"/>
      <c r="E23" s="9">
        <f>IF($D23="","",VLOOKUP($D23,$H$3:$J$7,2,FALSE))</f>
        <v/>
      </c>
    </row>
    <row r="24">
      <c r="A24" s="5" t="n">
        <v>20</v>
      </c>
      <c r="B24" s="6" t="inlineStr">
        <is>
          <t>Debo atender asuntos de trabajo cuando estoy en casa</t>
        </is>
      </c>
      <c r="C24" s="7" t="inlineStr">
        <is>
          <t>Normal</t>
        </is>
      </c>
      <c r="D24" s="8" t="n"/>
      <c r="E24" s="9">
        <f>IF($D24="","",VLOOKUP($D24,$H$3:$J$7,2,FALSE))</f>
        <v/>
      </c>
    </row>
    <row r="25">
      <c r="A25" s="5" t="n">
        <v>21</v>
      </c>
      <c r="B25" s="6" t="inlineStr">
        <is>
          <t>Pienso en las actividades familiares o personales cuando estoy en mi trabajo</t>
        </is>
      </c>
      <c r="C25" s="7" t="inlineStr">
        <is>
          <t>Normal</t>
        </is>
      </c>
      <c r="D25" s="8" t="n"/>
      <c r="E25" s="9">
        <f>IF($D25="","",VLOOKUP($D25,$H$3:$J$7,2,FALSE))</f>
        <v/>
      </c>
    </row>
    <row r="26">
      <c r="A26" s="5" t="n">
        <v>22</v>
      </c>
      <c r="B26" s="6" t="inlineStr">
        <is>
          <t>Pienso que mis responsabilidades familiares afectan mi trabajo</t>
        </is>
      </c>
      <c r="C26" s="7" t="inlineStr">
        <is>
          <t>Normal</t>
        </is>
      </c>
      <c r="D26" s="8" t="n"/>
      <c r="E26" s="9">
        <f>IF($D26="","",VLOOKUP($D26,$H$3:$J$7,2,FALSE))</f>
        <v/>
      </c>
    </row>
    <row r="27">
      <c r="A27" s="5" t="n">
        <v>23</v>
      </c>
      <c r="B27" s="6" t="inlineStr">
        <is>
          <t>Mi trabajo permite que desarrolle nuevas habilidades</t>
        </is>
      </c>
      <c r="C27" s="7" t="inlineStr">
        <is>
          <t>Inverso</t>
        </is>
      </c>
      <c r="D27" s="8" t="n"/>
      <c r="E27" s="9">
        <f>IF($D27="","",VLOOKUP($D27,$H$3:$J$7,3,FALSE))</f>
        <v/>
      </c>
    </row>
    <row r="28">
      <c r="A28" s="5" t="n">
        <v>24</v>
      </c>
      <c r="B28" s="6" t="inlineStr">
        <is>
          <t>En mi trabajo puedo aspirar a un mejor puesto</t>
        </is>
      </c>
      <c r="C28" s="7" t="inlineStr">
        <is>
          <t>Inverso</t>
        </is>
      </c>
      <c r="D28" s="8" t="n"/>
      <c r="E28" s="9">
        <f>IF($D28="","",VLOOKUP($D28,$H$3:$J$7,3,FALSE))</f>
        <v/>
      </c>
    </row>
    <row r="29">
      <c r="A29" s="5" t="n">
        <v>25</v>
      </c>
      <c r="B29" s="6" t="inlineStr">
        <is>
          <t>Durante mi jornada de trabajo puedo tomar pausas cuando las necesito</t>
        </is>
      </c>
      <c r="C29" s="7" t="inlineStr">
        <is>
          <t>Inverso</t>
        </is>
      </c>
      <c r="D29" s="8" t="n"/>
      <c r="E29" s="9">
        <f>IF($D29="","",VLOOKUP($D29,$H$3:$J$7,3,FALSE))</f>
        <v/>
      </c>
    </row>
    <row r="30">
      <c r="A30" s="5" t="n">
        <v>26</v>
      </c>
      <c r="B30" s="6" t="inlineStr">
        <is>
          <t>Puedo decidir cuánto trabajo realizo durante la jornada laboral</t>
        </is>
      </c>
      <c r="C30" s="7" t="inlineStr">
        <is>
          <t>Inverso</t>
        </is>
      </c>
      <c r="D30" s="8" t="n"/>
      <c r="E30" s="9">
        <f>IF($D30="","",VLOOKUP($D30,$H$3:$J$7,3,FALSE))</f>
        <v/>
      </c>
    </row>
    <row r="31">
      <c r="A31" s="5" t="n">
        <v>27</v>
      </c>
      <c r="B31" s="6" t="inlineStr">
        <is>
          <t>Puedo decidir la velocidad a la que realizo mis actividades en mi trabajo</t>
        </is>
      </c>
      <c r="C31" s="7" t="inlineStr">
        <is>
          <t>Inverso</t>
        </is>
      </c>
      <c r="D31" s="8" t="n"/>
      <c r="E31" s="9">
        <f>IF($D31="","",VLOOKUP($D31,$H$3:$J$7,3,FALSE))</f>
        <v/>
      </c>
    </row>
    <row r="32">
      <c r="A32" s="5" t="n">
        <v>28</v>
      </c>
      <c r="B32" s="6" t="inlineStr">
        <is>
          <t>Puedo cambiar el orden de las actividades que realizo en mi trabajo</t>
        </is>
      </c>
      <c r="C32" s="7" t="inlineStr">
        <is>
          <t>Inverso</t>
        </is>
      </c>
      <c r="D32" s="8" t="n"/>
      <c r="E32" s="9">
        <f>IF($D32="","",VLOOKUP($D32,$H$3:$J$7,3,FALSE))</f>
        <v/>
      </c>
    </row>
    <row r="33">
      <c r="A33" s="5" t="n">
        <v>29</v>
      </c>
      <c r="B33" s="6" t="inlineStr">
        <is>
          <t>Los cambios que se presentan en mi trabajo dificultan mi labor</t>
        </is>
      </c>
      <c r="C33" s="7" t="inlineStr">
        <is>
          <t>Normal</t>
        </is>
      </c>
      <c r="D33" s="8" t="n"/>
      <c r="E33" s="9">
        <f>IF($D33="","",VLOOKUP($D33,$H$3:$J$7,2,FALSE))</f>
        <v/>
      </c>
    </row>
    <row r="34">
      <c r="A34" s="5" t="n">
        <v>30</v>
      </c>
      <c r="B34" s="6" t="inlineStr">
        <is>
          <t>Cuando se presentan cambios en mi trabajo se tienen en cuenta mis ideas o aportaciones</t>
        </is>
      </c>
      <c r="C34" s="7" t="inlineStr">
        <is>
          <t>Inverso</t>
        </is>
      </c>
      <c r="D34" s="8" t="n"/>
      <c r="E34" s="9">
        <f>IF($D34="","",VLOOKUP($D34,$H$3:$J$7,3,FALSE))</f>
        <v/>
      </c>
    </row>
    <row r="35">
      <c r="A35" s="5" t="n">
        <v>31</v>
      </c>
      <c r="B35" s="6" t="inlineStr">
        <is>
          <t>Me informan con claridad cuáles son mis funciones</t>
        </is>
      </c>
      <c r="C35" s="7" t="inlineStr">
        <is>
          <t>Inverso</t>
        </is>
      </c>
      <c r="D35" s="8" t="n"/>
      <c r="E35" s="9">
        <f>IF($D35="","",VLOOKUP($D35,$H$3:$J$7,3,FALSE))</f>
        <v/>
      </c>
    </row>
    <row r="36">
      <c r="A36" s="5" t="n">
        <v>32</v>
      </c>
      <c r="B36" s="6" t="inlineStr">
        <is>
          <t>Me explican claramente los resultados que debo obtener en mi trabajo</t>
        </is>
      </c>
      <c r="C36" s="7" t="inlineStr">
        <is>
          <t>Inverso</t>
        </is>
      </c>
      <c r="D36" s="8" t="n"/>
      <c r="E36" s="9">
        <f>IF($D36="","",VLOOKUP($D36,$H$3:$J$7,3,FALSE))</f>
        <v/>
      </c>
    </row>
    <row r="37">
      <c r="A37" s="5" t="n">
        <v>33</v>
      </c>
      <c r="B37" s="6" t="inlineStr">
        <is>
          <t>Me explican claramente los objetivos de mi trabajo</t>
        </is>
      </c>
      <c r="C37" s="7" t="inlineStr">
        <is>
          <t>Inverso</t>
        </is>
      </c>
      <c r="D37" s="8" t="n"/>
      <c r="E37" s="9">
        <f>IF($D37="","",VLOOKUP($D37,$H$3:$J$7,3,FALSE))</f>
        <v/>
      </c>
    </row>
    <row r="38">
      <c r="A38" s="5" t="n">
        <v>34</v>
      </c>
      <c r="B38" s="6" t="inlineStr">
        <is>
          <t>Me informan con quién puedo resolver problemas o asuntos de trabajo</t>
        </is>
      </c>
      <c r="C38" s="7" t="inlineStr">
        <is>
          <t>Inverso</t>
        </is>
      </c>
      <c r="D38" s="8" t="n"/>
      <c r="E38" s="9">
        <f>IF($D38="","",VLOOKUP($D38,$H$3:$J$7,3,FALSE))</f>
        <v/>
      </c>
    </row>
    <row r="39">
      <c r="A39" s="5" t="n">
        <v>35</v>
      </c>
      <c r="B39" s="6" t="inlineStr">
        <is>
          <t>Me permiten asistir a capacitaciones relacionadas con mi trabajo</t>
        </is>
      </c>
      <c r="C39" s="7" t="inlineStr">
        <is>
          <t>Inverso</t>
        </is>
      </c>
      <c r="D39" s="8" t="n"/>
      <c r="E39" s="9">
        <f>IF($D39="","",VLOOKUP($D39,$H$3:$J$7,3,FALSE))</f>
        <v/>
      </c>
    </row>
    <row r="40">
      <c r="A40" s="5" t="n">
        <v>36</v>
      </c>
      <c r="B40" s="6" t="inlineStr">
        <is>
          <t>Recibo capacitación útil para hacer mi trabajo</t>
        </is>
      </c>
      <c r="C40" s="7" t="inlineStr">
        <is>
          <t>Inverso</t>
        </is>
      </c>
      <c r="D40" s="8" t="n"/>
      <c r="E40" s="9">
        <f>IF($D40="","",VLOOKUP($D40,$H$3:$J$7,3,FALSE))</f>
        <v/>
      </c>
    </row>
    <row r="41">
      <c r="A41" s="5" t="n">
        <v>37</v>
      </c>
      <c r="B41" s="6" t="inlineStr">
        <is>
          <t>Mi jefe ayuda a organizar mejor el trabajo</t>
        </is>
      </c>
      <c r="C41" s="7" t="inlineStr">
        <is>
          <t>Inverso</t>
        </is>
      </c>
      <c r="D41" s="8" t="n"/>
      <c r="E41" s="9">
        <f>IF($D41="","",VLOOKUP($D41,$H$3:$J$7,3,FALSE))</f>
        <v/>
      </c>
    </row>
    <row r="42">
      <c r="A42" s="5" t="n">
        <v>38</v>
      </c>
      <c r="B42" s="6" t="inlineStr">
        <is>
          <t>Mi jefe tiene en cuenta mis puntos de vista y opiniones</t>
        </is>
      </c>
      <c r="C42" s="7" t="inlineStr">
        <is>
          <t>Inverso</t>
        </is>
      </c>
      <c r="D42" s="8" t="n"/>
      <c r="E42" s="9">
        <f>IF($D42="","",VLOOKUP($D42,$H$3:$J$7,3,FALSE))</f>
        <v/>
      </c>
    </row>
    <row r="43">
      <c r="A43" s="5" t="n">
        <v>39</v>
      </c>
      <c r="B43" s="6" t="inlineStr">
        <is>
          <t>Mi jefe me comunica a tiempo la información relacionada con el trabajo</t>
        </is>
      </c>
      <c r="C43" s="7" t="inlineStr">
        <is>
          <t>Inverso</t>
        </is>
      </c>
      <c r="D43" s="8" t="n"/>
      <c r="E43" s="9">
        <f>IF($D43="","",VLOOKUP($D43,$H$3:$J$7,3,FALSE))</f>
        <v/>
      </c>
    </row>
    <row r="44">
      <c r="A44" s="5" t="n">
        <v>40</v>
      </c>
      <c r="B44" s="6" t="inlineStr">
        <is>
          <t>La orientación que me da mi jefe me ayuda a realizar mejor mi trabajo</t>
        </is>
      </c>
      <c r="C44" s="7" t="inlineStr">
        <is>
          <t>Inverso</t>
        </is>
      </c>
      <c r="D44" s="8" t="n"/>
      <c r="E44" s="9">
        <f>IF($D44="","",VLOOKUP($D44,$H$3:$J$7,3,FALSE))</f>
        <v/>
      </c>
    </row>
    <row r="45">
      <c r="A45" s="5" t="n">
        <v>41</v>
      </c>
      <c r="B45" s="6" t="inlineStr">
        <is>
          <t>Mi jefe ayuda a solucionar los problemas que se presentan en el trabajo</t>
        </is>
      </c>
      <c r="C45" s="7" t="inlineStr">
        <is>
          <t>Inverso</t>
        </is>
      </c>
      <c r="D45" s="8" t="n"/>
      <c r="E45" s="9">
        <f>IF($D45="","",VLOOKUP($D45,$H$3:$J$7,3,FALSE))</f>
        <v/>
      </c>
    </row>
    <row r="46">
      <c r="A46" s="5" t="n">
        <v>42</v>
      </c>
      <c r="B46" s="6" t="inlineStr">
        <is>
          <t>Puedo confiar en mis compañeros de trabajo</t>
        </is>
      </c>
      <c r="C46" s="7" t="inlineStr">
        <is>
          <t>Inverso</t>
        </is>
      </c>
      <c r="D46" s="8" t="n"/>
      <c r="E46" s="9">
        <f>IF($D46="","",VLOOKUP($D46,$H$3:$J$7,3,FALSE))</f>
        <v/>
      </c>
    </row>
    <row r="47">
      <c r="A47" s="5" t="n">
        <v>43</v>
      </c>
      <c r="B47" s="6" t="inlineStr">
        <is>
          <t>Entre compañeros solucionamos los problemas de trabajo de forma respetuosa</t>
        </is>
      </c>
      <c r="C47" s="7" t="inlineStr">
        <is>
          <t>Inverso</t>
        </is>
      </c>
      <c r="D47" s="8" t="n"/>
      <c r="E47" s="9">
        <f>IF($D47="","",VLOOKUP($D47,$H$3:$J$7,3,FALSE))</f>
        <v/>
      </c>
    </row>
    <row r="48">
      <c r="A48" s="5" t="n">
        <v>44</v>
      </c>
      <c r="B48" s="6" t="inlineStr">
        <is>
          <t>En mi trabajo me hacen sentir parte del grupo</t>
        </is>
      </c>
      <c r="C48" s="7" t="inlineStr">
        <is>
          <t>Inverso</t>
        </is>
      </c>
      <c r="D48" s="8" t="n"/>
      <c r="E48" s="9">
        <f>IF($D48="","",VLOOKUP($D48,$H$3:$J$7,3,FALSE))</f>
        <v/>
      </c>
    </row>
    <row r="49">
      <c r="A49" s="5" t="n">
        <v>45</v>
      </c>
      <c r="B49" s="6" t="inlineStr">
        <is>
          <t>Cuando tenemos que realizar trabajo de equipo los compañeros colaboran</t>
        </is>
      </c>
      <c r="C49" s="7" t="inlineStr">
        <is>
          <t>Inverso</t>
        </is>
      </c>
      <c r="D49" s="8" t="n"/>
      <c r="E49" s="9">
        <f>IF($D49="","",VLOOKUP($D49,$H$3:$J$7,3,FALSE))</f>
        <v/>
      </c>
    </row>
    <row r="50">
      <c r="A50" s="5" t="n">
        <v>46</v>
      </c>
      <c r="B50" s="6" t="inlineStr">
        <is>
          <t>Mis compañeros de trabajo me ayudan cuando tengo dificultades</t>
        </is>
      </c>
      <c r="C50" s="7" t="inlineStr">
        <is>
          <t>Inverso</t>
        </is>
      </c>
      <c r="D50" s="8" t="n"/>
      <c r="E50" s="9">
        <f>IF($D50="","",VLOOKUP($D50,$H$3:$J$7,3,FALSE))</f>
        <v/>
      </c>
    </row>
    <row r="51">
      <c r="A51" s="5" t="n">
        <v>47</v>
      </c>
      <c r="B51" s="6" t="inlineStr">
        <is>
          <t>Me informan sobre lo que hago bien en mi trabajo</t>
        </is>
      </c>
      <c r="C51" s="7" t="inlineStr">
        <is>
          <t>Inverso</t>
        </is>
      </c>
      <c r="D51" s="8" t="n"/>
      <c r="E51" s="9">
        <f>IF($D51="","",VLOOKUP($D51,$H$3:$J$7,3,FALSE))</f>
        <v/>
      </c>
    </row>
    <row r="52">
      <c r="A52" s="5" t="n">
        <v>48</v>
      </c>
      <c r="B52" s="6" t="inlineStr">
        <is>
          <t>La forma como evalúan mi trabajo en mi centro de trabajo me ayuda a mejorar mi desempeño</t>
        </is>
      </c>
      <c r="C52" s="7" t="inlineStr">
        <is>
          <t>Inverso</t>
        </is>
      </c>
      <c r="D52" s="8" t="n"/>
      <c r="E52" s="9">
        <f>IF($D52="","",VLOOKUP($D52,$H$3:$J$7,3,FALSE))</f>
        <v/>
      </c>
    </row>
    <row r="53">
      <c r="A53" s="5" t="n">
        <v>49</v>
      </c>
      <c r="B53" s="6" t="inlineStr">
        <is>
          <t>En mi centro de trabajo me pagan a tiempo mi salario</t>
        </is>
      </c>
      <c r="C53" s="7" t="inlineStr">
        <is>
          <t>Inverso</t>
        </is>
      </c>
      <c r="D53" s="8" t="n"/>
      <c r="E53" s="9">
        <f>IF($D53="","",VLOOKUP($D53,$H$3:$J$7,3,FALSE))</f>
        <v/>
      </c>
    </row>
    <row r="54">
      <c r="A54" s="5" t="n">
        <v>50</v>
      </c>
      <c r="B54" s="6" t="inlineStr">
        <is>
          <t>El pago que recibo es el que merezco por el trabajo que realizo</t>
        </is>
      </c>
      <c r="C54" s="7" t="inlineStr">
        <is>
          <t>Inverso</t>
        </is>
      </c>
      <c r="D54" s="8" t="n"/>
      <c r="E54" s="9">
        <f>IF($D54="","",VLOOKUP($D54,$H$3:$J$7,3,FALSE))</f>
        <v/>
      </c>
    </row>
    <row r="55">
      <c r="A55" s="5" t="n">
        <v>51</v>
      </c>
      <c r="B55" s="6" t="inlineStr">
        <is>
          <t>Si obtengo los resultados esperados en mi trabajo me recompensan o reconocen</t>
        </is>
      </c>
      <c r="C55" s="7" t="inlineStr">
        <is>
          <t>Inverso</t>
        </is>
      </c>
      <c r="D55" s="8" t="n"/>
      <c r="E55" s="9">
        <f>IF($D55="","",VLOOKUP($D55,$H$3:$J$7,3,FALSE))</f>
        <v/>
      </c>
    </row>
    <row r="56">
      <c r="A56" s="5" t="n">
        <v>52</v>
      </c>
      <c r="B56" s="6" t="inlineStr">
        <is>
          <t>Las personas que hacen bien el trabajo pueden crecer laboralmente</t>
        </is>
      </c>
      <c r="C56" s="7" t="inlineStr">
        <is>
          <t>Inverso</t>
        </is>
      </c>
      <c r="D56" s="8" t="n"/>
      <c r="E56" s="9">
        <f>IF($D56="","",VLOOKUP($D56,$H$3:$J$7,3,FALSE))</f>
        <v/>
      </c>
    </row>
    <row r="57">
      <c r="A57" s="5" t="n">
        <v>53</v>
      </c>
      <c r="B57" s="6" t="inlineStr">
        <is>
          <t>Considero que mi trabajo es estable</t>
        </is>
      </c>
      <c r="C57" s="7" t="inlineStr">
        <is>
          <t>Inverso</t>
        </is>
      </c>
      <c r="D57" s="8" t="n"/>
      <c r="E57" s="9">
        <f>IF($D57="","",VLOOKUP($D57,$H$3:$J$7,3,FALSE))</f>
        <v/>
      </c>
    </row>
    <row r="58">
      <c r="A58" s="5" t="n">
        <v>54</v>
      </c>
      <c r="B58" s="6" t="inlineStr">
        <is>
          <t>En mi trabajo existe continua rotación de personal</t>
        </is>
      </c>
      <c r="C58" s="7" t="inlineStr">
        <is>
          <t>Normal</t>
        </is>
      </c>
      <c r="D58" s="8" t="n"/>
      <c r="E58" s="9">
        <f>IF($D58="","",VLOOKUP($D58,$H$3:$J$7,2,FALSE))</f>
        <v/>
      </c>
    </row>
    <row r="59">
      <c r="A59" s="5" t="n">
        <v>55</v>
      </c>
      <c r="B59" s="6" t="inlineStr">
        <is>
          <t>Siento orgullo de laborar en este centro de trabajo</t>
        </is>
      </c>
      <c r="C59" s="7" t="inlineStr">
        <is>
          <t>Inverso</t>
        </is>
      </c>
      <c r="D59" s="8" t="n"/>
      <c r="E59" s="9">
        <f>IF($D59="","",VLOOKUP($D59,$H$3:$J$7,3,FALSE))</f>
        <v/>
      </c>
    </row>
    <row r="60">
      <c r="A60" s="5" t="n">
        <v>56</v>
      </c>
      <c r="B60" s="6" t="inlineStr">
        <is>
          <t>Me siento comprometido con mi trabajo</t>
        </is>
      </c>
      <c r="C60" s="7" t="inlineStr">
        <is>
          <t>Inverso</t>
        </is>
      </c>
      <c r="D60" s="8" t="n"/>
      <c r="E60" s="9">
        <f>IF($D60="","",VLOOKUP($D60,$H$3:$J$7,3,FALSE))</f>
        <v/>
      </c>
    </row>
    <row r="61">
      <c r="A61" s="5" t="n">
        <v>57</v>
      </c>
      <c r="B61" s="6" t="inlineStr">
        <is>
          <t>En mi trabajo puedo expresarme libremente sin interrupciones</t>
        </is>
      </c>
      <c r="C61" s="7" t="inlineStr">
        <is>
          <t>Inverso</t>
        </is>
      </c>
      <c r="D61" s="8" t="n"/>
      <c r="E61" s="9">
        <f>IF($D61="","",VLOOKUP($D61,$H$3:$J$7,3,FALSE))</f>
        <v/>
      </c>
    </row>
    <row r="62">
      <c r="A62" s="5" t="n">
        <v>58</v>
      </c>
      <c r="B62" s="6" t="inlineStr">
        <is>
          <t>Recibo críticas constantes a mi persona y/o trabajo</t>
        </is>
      </c>
      <c r="C62" s="7" t="inlineStr">
        <is>
          <t>Normal</t>
        </is>
      </c>
      <c r="D62" s="8" t="n"/>
      <c r="E62" s="9">
        <f>IF($D62="","",VLOOKUP($D62,$H$3:$J$7,2,FALSE))</f>
        <v/>
      </c>
    </row>
    <row r="63">
      <c r="A63" s="5" t="n">
        <v>59</v>
      </c>
      <c r="B63" s="6" t="inlineStr">
        <is>
          <t>Recibo burlas, calumnias, difamaciones, humillaciones o ridiculizaciones</t>
        </is>
      </c>
      <c r="C63" s="7" t="inlineStr">
        <is>
          <t>Normal</t>
        </is>
      </c>
      <c r="D63" s="8" t="n"/>
      <c r="E63" s="9">
        <f>IF($D63="","",VLOOKUP($D63,$H$3:$J$7,2,FALSE))</f>
        <v/>
      </c>
    </row>
    <row r="64">
      <c r="A64" s="5" t="n">
        <v>60</v>
      </c>
      <c r="B64" s="6" t="inlineStr">
        <is>
          <t>Se ignora mi presencia o se me excluye de las reuniones de trabajo y en la toma de decisiones</t>
        </is>
      </c>
      <c r="C64" s="7" t="inlineStr">
        <is>
          <t>Normal</t>
        </is>
      </c>
      <c r="D64" s="8" t="n"/>
      <c r="E64" s="9">
        <f>IF($D64="","",VLOOKUP($D64,$H$3:$J$7,2,FALSE))</f>
        <v/>
      </c>
    </row>
    <row r="65">
      <c r="A65" s="5" t="n">
        <v>61</v>
      </c>
      <c r="B65" s="6" t="inlineStr">
        <is>
          <t>Se manipulan las situaciones de trabajo para hacerme parecer un mal trabajador</t>
        </is>
      </c>
      <c r="C65" s="7" t="inlineStr">
        <is>
          <t>Normal</t>
        </is>
      </c>
      <c r="D65" s="8" t="n"/>
      <c r="E65" s="9">
        <f>IF($D65="","",VLOOKUP($D65,$H$3:$J$7,2,FALSE))</f>
        <v/>
      </c>
    </row>
    <row r="66">
      <c r="A66" s="5" t="n">
        <v>62</v>
      </c>
      <c r="B66" s="6" t="inlineStr">
        <is>
          <t>Se ignoran mis éxitos laborales y se atribuyen a otros trabajadores</t>
        </is>
      </c>
      <c r="C66" s="7" t="inlineStr">
        <is>
          <t>Normal</t>
        </is>
      </c>
      <c r="D66" s="8" t="n"/>
      <c r="E66" s="9">
        <f>IF($D66="","",VLOOKUP($D66,$H$3:$J$7,2,FALSE))</f>
        <v/>
      </c>
    </row>
    <row r="67">
      <c r="A67" s="5" t="n">
        <v>63</v>
      </c>
      <c r="B67" s="6" t="inlineStr">
        <is>
          <t>Me bloquean o impiden las oportunidades que tengo para obtener ascenso o mejora en mi trabajo</t>
        </is>
      </c>
      <c r="C67" s="7" t="inlineStr">
        <is>
          <t>Normal</t>
        </is>
      </c>
      <c r="D67" s="8" t="n"/>
      <c r="E67" s="9">
        <f>IF($D67="","",VLOOKUP($D67,$H$3:$J$7,2,FALSE))</f>
        <v/>
      </c>
    </row>
    <row r="68">
      <c r="A68" s="5" t="n">
        <v>64</v>
      </c>
      <c r="B68" s="6" t="inlineStr">
        <is>
          <t>He presenciado actos de violencia en mi centro de trabajo</t>
        </is>
      </c>
      <c r="C68" s="7" t="inlineStr">
        <is>
          <t>Normal</t>
        </is>
      </c>
      <c r="D68" s="8" t="n"/>
      <c r="E68" s="9">
        <f>IF($D68="","",VLOOKUP($D68,$H$3:$J$7,2,FALSE))</f>
        <v/>
      </c>
    </row>
    <row r="69">
      <c r="A69" s="5" t="n">
        <v>65</v>
      </c>
      <c r="B69" s="6" t="inlineStr">
        <is>
          <t>Atiendo clientes o usuarios muy enojados</t>
        </is>
      </c>
      <c r="C69" s="7" t="inlineStr">
        <is>
          <t>Normal</t>
        </is>
      </c>
      <c r="D69" s="8" t="n"/>
      <c r="E69" s="9">
        <f>IF($D69="","",VLOOKUP($D69,$H$3:$J$7,2,FALSE))</f>
        <v/>
      </c>
    </row>
    <row r="70">
      <c r="A70" s="5" t="n">
        <v>66</v>
      </c>
      <c r="B70" s="6" t="inlineStr">
        <is>
          <t>Mi trabajo me exige atender personas muy necesitadas de ayuda o enfermas</t>
        </is>
      </c>
      <c r="C70" s="7" t="inlineStr">
        <is>
          <t>Normal</t>
        </is>
      </c>
      <c r="D70" s="8" t="n"/>
      <c r="E70" s="9">
        <f>IF($D70="","",VLOOKUP($D70,$H$3:$J$7,2,FALSE))</f>
        <v/>
      </c>
    </row>
    <row r="71">
      <c r="A71" s="5" t="n">
        <v>67</v>
      </c>
      <c r="B71" s="6" t="inlineStr">
        <is>
          <t>Para hacer mi trabajo debo demostrar sentimientos distintos a los míos</t>
        </is>
      </c>
      <c r="C71" s="7" t="inlineStr">
        <is>
          <t>Normal</t>
        </is>
      </c>
      <c r="D71" s="8" t="n"/>
      <c r="E71" s="9">
        <f>IF($D71="","",VLOOKUP($D71,$H$3:$J$7,2,FALSE))</f>
        <v/>
      </c>
    </row>
    <row r="72">
      <c r="A72" s="5" t="n">
        <v>68</v>
      </c>
      <c r="B72" s="6" t="inlineStr">
        <is>
          <t>Mi trabajo me exige atender situaciones de violencia</t>
        </is>
      </c>
      <c r="C72" s="7" t="inlineStr">
        <is>
          <t>Normal</t>
        </is>
      </c>
      <c r="D72" s="8" t="n"/>
      <c r="E72" s="9">
        <f>IF($D72="","",VLOOKUP($D72,$H$3:$J$7,2,FALSE))</f>
        <v/>
      </c>
    </row>
    <row r="73">
      <c r="A73" s="5" t="n">
        <v>69</v>
      </c>
      <c r="B73" s="6" t="inlineStr">
        <is>
          <t>Comunican tarde los asuntos de trabajo</t>
        </is>
      </c>
      <c r="C73" s="7" t="inlineStr">
        <is>
          <t>Normal</t>
        </is>
      </c>
      <c r="D73" s="8" t="n"/>
      <c r="E73" s="9">
        <f>IF($D73="","",VLOOKUP($D73,$H$3:$J$7,2,FALSE))</f>
        <v/>
      </c>
    </row>
    <row r="74">
      <c r="A74" s="5" t="n">
        <v>70</v>
      </c>
      <c r="B74" s="6" t="inlineStr">
        <is>
          <t>Dificultan el logro de los resultados del trabajo</t>
        </is>
      </c>
      <c r="C74" s="7" t="inlineStr">
        <is>
          <t>Normal</t>
        </is>
      </c>
      <c r="D74" s="8" t="n"/>
      <c r="E74" s="9">
        <f>IF($D74="","",VLOOKUP($D74,$H$3:$J$7,2,FALSE))</f>
        <v/>
      </c>
    </row>
    <row r="75">
      <c r="A75" s="5" t="n">
        <v>71</v>
      </c>
      <c r="B75" s="6" t="inlineStr">
        <is>
          <t>Cooperan poco cuando se necesita</t>
        </is>
      </c>
      <c r="C75" s="7" t="inlineStr">
        <is>
          <t>Normal</t>
        </is>
      </c>
      <c r="D75" s="8" t="n"/>
      <c r="E75" s="9">
        <f>IF($D75="","",VLOOKUP($D75,$H$3:$J$7,2,FALSE))</f>
        <v/>
      </c>
    </row>
    <row r="76">
      <c r="A76" s="5" t="n">
        <v>72</v>
      </c>
      <c r="B76" s="6" t="inlineStr">
        <is>
          <t>Ignoran las sugerencias para mejorar su trabajo</t>
        </is>
      </c>
      <c r="C76" s="7" t="inlineStr">
        <is>
          <t>Normal</t>
        </is>
      </c>
      <c r="D76" s="8" t="n"/>
      <c r="E76" s="9">
        <f>IF($D76="","",VLOOKUP($D76,$H$3:$J$7,2,FALSE))</f>
        <v/>
      </c>
    </row>
    <row r="78">
      <c r="B78" s="10" t="inlineStr">
        <is>
          <t>Calificación final (Cfinal):</t>
        </is>
      </c>
      <c r="E78" s="11">
        <f>SUM(E5:E76)</f>
        <v/>
      </c>
    </row>
    <row r="79">
      <c r="B79" s="10" t="inlineStr">
        <is>
          <t>Nivel de riesgo:</t>
        </is>
      </c>
      <c r="E79" s="11">
        <f>IF(E78="","",IF(E78&lt;50,"Nulo o despreciable",IF(E78&lt;75,"Bajo",IF(E78&lt;99,"Medio",IF(E78&lt;140,"Alto","Muy alto")))))</f>
        <v/>
      </c>
    </row>
    <row r="80" ht="48" customHeight="1">
      <c r="B80" s="10" t="inlineStr">
        <is>
          <t>Acción requerida:</t>
        </is>
      </c>
      <c r="C80" s="12">
        <f>IF(E79="","",IF(E79="Nulo o despreciable","No se requieren medidas adicionales.",IF(E79="Bajo","Es necesaria una mayor difusión de la política de prevención y de los programas de prevención.",IF(E79="Medio","Revisar la política y los programas y reforzar su aplicación y difusión, mediante un Programa de intervención.",IF(E79="Alto","Analizar cada categoría y dominio y aplicar un Programa de intervención (puede incluir evaluación específica), además de revisar la política.","Analizar cada categoría y dominio y aplicar un Programa de intervención que debe incluir evaluaciones específicas y campañas de sensibilización, además de revisar la política.")))))</f>
        <v/>
      </c>
    </row>
    <row r="82">
      <c r="A82" s="13" t="inlineStr">
        <is>
          <t>Rangos de calificación final (Guía III, 72 reactivos): Nulo &lt;50  ·  Bajo 50–74  ·  Medio 75–98  ·  Alto 99–139  ·  Muy alto ≥140</t>
        </is>
      </c>
    </row>
    <row r="83" ht="28" customHeight="1">
      <c r="A83" s="13" t="inlineStr">
        <is>
          <t>"Normal": Siempre=4…Nunca=0.  "Inverso" (reactivos positivos): Siempre=0…Nunca=4.  El análisis por categoría y dominio se realiza conforme a las tablas de la NOM-035. Complemente con el anexo neurodivergente (F-18).</t>
        </is>
      </c>
    </row>
  </sheetData>
  <mergeCells count="5">
    <mergeCell ref="A83:E83"/>
    <mergeCell ref="A2:E2"/>
    <mergeCell ref="C80:E80"/>
    <mergeCell ref="A82:E82"/>
    <mergeCell ref="A1:E1"/>
  </mergeCells>
  <dataValidations count="1">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showDropDown="0" showInputMessage="0" showErrorMessage="0" allowBlank="1" type="list">
      <formula1>"Siempre,Casi siempre,Algunas veces,Casi nunca,Nunca"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2026-08-16T09:26:10Z</dcterms:created>
  <dcterms:modified xmlns:dcterms="http://purl.org/dc/terms/" xmlns:xsi="http://www.w3.org/2001/XMLSchema-instance" xsi:type="dcterms:W3CDTF">2026-08-16T09:26:10Z</dcterms:modified>
</cp:coreProperties>
</file>