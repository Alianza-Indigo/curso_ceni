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puestas" sheetId="2" state="visible" r:id="rId2"/>
    <sheet xmlns:r="http://schemas.openxmlformats.org/officeDocument/2006/relationships" name="Cálculo" sheetId="3" state="visible" r:id="rId3"/>
    <sheet xmlns:r="http://schemas.openxmlformats.org/officeDocument/2006/relationships" name="Table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0B2F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B18A8"/>
      </patternFill>
    </fill>
  </fills>
  <borders count="2">
    <border>
      <left/>
      <right/>
      <top/>
      <bottom/>
      <diagonal/>
    </border>
    <border>
      <left style="thin">
        <color rgb="00D9CEF2"/>
      </left>
      <right style="thin">
        <color rgb="00D9CEF2"/>
      </right>
      <top style="thin">
        <color rgb="00D9CEF2"/>
      </top>
      <bottom style="thin">
        <color rgb="00D9CE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 ht="26" customHeight="1">
      <c r="A1" s="1" t="inlineStr">
        <is>
          <t>Plantilla de cálculo NOM-035 · Diplomado NOM-035 ND</t>
        </is>
      </c>
    </row>
    <row r="3">
      <c r="A3" s="2" t="inlineStr">
        <is>
          <t>Esta plantilla ayuda a calcular resultados de la NOM-035 a partir de las respuestas capturadas.</t>
        </is>
      </c>
    </row>
    <row r="4">
      <c r="A4" s="2" t="inlineStr">
        <is>
          <t>1. Captura una fila por trabajador en la hoja 'Respuestas' (una columna por ítem del cuestionario).</t>
        </is>
      </c>
    </row>
    <row r="5">
      <c r="A5" s="2" t="inlineStr">
        <is>
          <t>2. Cada ítem se responde de 0 (Nunca) a 4 (Siempre). Verifica la polaridad de los ítems inversos.</t>
        </is>
      </c>
    </row>
    <row r="6">
      <c r="A6" s="2" t="inlineStr">
        <is>
          <t>3. La hoja 'Cálculo' suma automáticamente por dominio y categoría y clasifica el nivel de riesgo.</t>
        </is>
      </c>
    </row>
    <row r="7">
      <c r="A7" s="2" t="inlineStr">
        <is>
          <t>4. El 'Tablero' resume el nivel final y el semáforo por categoría.</t>
        </is>
      </c>
    </row>
    <row r="8">
      <c r="A8" s="2" t="inlineStr">
        <is>
          <t>Nota: es una plantilla de trabajo del diplomado; sustituye los ítems por el instrumento oficial que apliques.</t>
        </is>
      </c>
    </row>
  </sheetData>
  <mergeCells count="7">
    <mergeCell ref="A4:B4"/>
    <mergeCell ref="A7:B7"/>
    <mergeCell ref="A5:B5"/>
    <mergeCell ref="A1:B1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</cols>
  <sheetData>
    <row r="1">
      <c r="A1" s="3" t="inlineStr">
        <is>
          <t>Trabajador</t>
        </is>
      </c>
      <c r="B1" s="3" t="inlineStr">
        <is>
          <t>Ítem 1</t>
        </is>
      </c>
      <c r="C1" s="3" t="inlineStr">
        <is>
          <t>Ítem 2</t>
        </is>
      </c>
      <c r="D1" s="3" t="inlineStr">
        <is>
          <t>Ítem 3</t>
        </is>
      </c>
      <c r="E1" s="3" t="inlineStr">
        <is>
          <t>Ítem 4</t>
        </is>
      </c>
      <c r="F1" s="3" t="inlineStr">
        <is>
          <t>Ítem 5</t>
        </is>
      </c>
      <c r="G1" s="3" t="inlineStr">
        <is>
          <t>Ítem 6</t>
        </is>
      </c>
      <c r="H1" s="3" t="inlineStr">
        <is>
          <t>Ítem 7</t>
        </is>
      </c>
      <c r="I1" s="3" t="inlineStr">
        <is>
          <t>Ítem 8</t>
        </is>
      </c>
      <c r="J1" s="3" t="inlineStr">
        <is>
          <t>Ítem 9</t>
        </is>
      </c>
      <c r="K1" s="3" t="inlineStr">
        <is>
          <t>Ítem 10</t>
        </is>
      </c>
      <c r="L1" s="3" t="inlineStr">
        <is>
          <t>Suma</t>
        </is>
      </c>
    </row>
    <row r="2">
      <c r="A2" s="4" t="inlineStr">
        <is>
          <t>T-01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>
        <f>SUM(B2:K2)</f>
        <v/>
      </c>
    </row>
    <row r="3">
      <c r="A3" s="4" t="inlineStr">
        <is>
          <t>T-02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>
        <f>SUM(B3:K3)</f>
        <v/>
      </c>
    </row>
    <row r="4">
      <c r="A4" s="4" t="inlineStr">
        <is>
          <t>T-03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>
        <f>SUM(B4:K4)</f>
        <v/>
      </c>
    </row>
    <row r="5">
      <c r="A5" s="4" t="inlineStr">
        <is>
          <t>T-04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>
        <f>SUM(B5:K5)</f>
        <v/>
      </c>
    </row>
    <row r="6">
      <c r="A6" s="4" t="inlineStr">
        <is>
          <t>T-05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>
        <f>SUM(B6:K6)</f>
        <v/>
      </c>
    </row>
    <row r="7">
      <c r="A7" s="4" t="inlineStr">
        <is>
          <t>T-06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>
        <f>SUM(B7:K7)</f>
        <v/>
      </c>
    </row>
    <row r="8">
      <c r="A8" s="4" t="inlineStr">
        <is>
          <t>T-07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>
        <f>SUM(B8:K8)</f>
        <v/>
      </c>
    </row>
    <row r="9">
      <c r="A9" s="4" t="inlineStr">
        <is>
          <t>T-08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>
        <f>SUM(B9:K9)</f>
        <v/>
      </c>
    </row>
    <row r="10">
      <c r="A10" s="4" t="inlineStr">
        <is>
          <t>T-09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>
        <f>SUM(B10:K10)</f>
        <v/>
      </c>
    </row>
    <row r="11">
      <c r="A11" s="4" t="inlineStr">
        <is>
          <t>T-10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>
        <f>SUM(B11:K11)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6" customWidth="1" min="4" max="4"/>
  </cols>
  <sheetData>
    <row r="1" ht="26" customHeight="1">
      <c r="A1" s="1" t="inlineStr">
        <is>
          <t>Cálculo por categoría y nivel de riesgo</t>
        </is>
      </c>
    </row>
    <row r="2">
      <c r="A2" s="3" t="inlineStr">
        <is>
          <t>Categoría</t>
        </is>
      </c>
      <c r="B2" s="3" t="inlineStr">
        <is>
          <t>Puntaje</t>
        </is>
      </c>
      <c r="C2" s="3" t="inlineStr">
        <is>
          <t>Umbral riesgo alto</t>
        </is>
      </c>
      <c r="D2" s="3" t="inlineStr">
        <is>
          <t>Nivel</t>
        </is>
      </c>
    </row>
    <row r="3">
      <c r="A3" s="4" t="inlineStr">
        <is>
          <t>Ambiente de trabajo</t>
        </is>
      </c>
      <c r="B3" s="4" t="n">
        <v>0</v>
      </c>
      <c r="C3" s="4" t="n">
        <v>5</v>
      </c>
      <c r="D3" s="4">
        <f>IF(B3&gt;=C3,"Alto","Bajo/Medio")</f>
        <v/>
      </c>
    </row>
    <row r="4">
      <c r="A4" s="4" t="inlineStr">
        <is>
          <t>Carga de trabajo</t>
        </is>
      </c>
      <c r="B4" s="4" t="n">
        <v>0</v>
      </c>
      <c r="C4" s="4" t="n">
        <v>9</v>
      </c>
      <c r="D4" s="4">
        <f>IF(B4&gt;=C4,"Alto","Bajo/Medio")</f>
        <v/>
      </c>
    </row>
    <row r="5">
      <c r="A5" s="4" t="inlineStr">
        <is>
          <t>Falta de control sobre el trabajo</t>
        </is>
      </c>
      <c r="B5" s="4" t="n">
        <v>0</v>
      </c>
      <c r="C5" s="4" t="n">
        <v>8</v>
      </c>
      <c r="D5" s="4">
        <f>IF(B5&gt;=C5,"Alto","Bajo/Medio")</f>
        <v/>
      </c>
    </row>
    <row r="6">
      <c r="A6" s="4" t="inlineStr">
        <is>
          <t>Jornada de trabajo</t>
        </is>
      </c>
      <c r="B6" s="4" t="n">
        <v>0</v>
      </c>
      <c r="C6" s="4" t="n">
        <v>3</v>
      </c>
      <c r="D6" s="4">
        <f>IF(B6&gt;=C6,"Alto","Bajo/Medio")</f>
        <v/>
      </c>
    </row>
    <row r="7">
      <c r="A7" s="4" t="inlineStr">
        <is>
          <t>Interferencia trabajo-familia</t>
        </is>
      </c>
      <c r="B7" s="4" t="n">
        <v>0</v>
      </c>
      <c r="C7" s="4" t="n">
        <v>2</v>
      </c>
      <c r="D7" s="4">
        <f>IF(B7&gt;=C7,"Alto","Bajo/Medio")</f>
        <v/>
      </c>
    </row>
    <row r="8">
      <c r="A8" s="4" t="inlineStr">
        <is>
          <t>Liderazgo y relaciones</t>
        </is>
      </c>
      <c r="B8" s="4" t="n">
        <v>0</v>
      </c>
      <c r="C8" s="4" t="n">
        <v>10</v>
      </c>
      <c r="D8" s="4">
        <f>IF(B8&gt;=C8,"Alto","Bajo/Medio")</f>
        <v/>
      </c>
    </row>
    <row r="9">
      <c r="A9" s="4" t="inlineStr">
        <is>
          <t>Violencia laboral</t>
        </is>
      </c>
      <c r="B9" s="4" t="n">
        <v>0</v>
      </c>
      <c r="C9" s="4" t="n">
        <v>5</v>
      </c>
      <c r="D9" s="4">
        <f>IF(B9&gt;=C9,"Alto","Bajo/Medio")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 ht="26" customHeight="1">
      <c r="A1" s="1" t="inlineStr">
        <is>
          <t>Tablero ejecutivo</t>
        </is>
      </c>
    </row>
    <row r="3">
      <c r="A3" s="5" t="inlineStr">
        <is>
          <t>Puntaje final total</t>
        </is>
      </c>
      <c r="B3">
        <f>SUM('Cálculo'!B3:B9)</f>
        <v/>
      </c>
    </row>
    <row r="4">
      <c r="A4" s="5" t="inlineStr">
        <is>
          <t>Nivel de riesgo (referencia)</t>
        </is>
      </c>
      <c r="B4">
        <f>IF(B3&gt;=90,"Muy alto",IF(B3&gt;=60,"Alto",IF(B3&gt;=45,"Medio",IF(B3&gt;=20,"Bajo","Nulo/Despreciable"))))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2026-08-24T06:52:22Z</dcterms:created>
  <dcterms:modified xmlns:dcterms="http://purl.org/dc/terms/" xmlns:xsi="http://www.w3.org/2001/XMLSchema-instance" xsi:type="dcterms:W3CDTF">2026-08-24T06:52:22Z</dcterms:modified>
</cp:coreProperties>
</file>