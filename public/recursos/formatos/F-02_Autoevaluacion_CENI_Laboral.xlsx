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B0082"/>
    </font>
    <font>
      <name val="Arial"/>
      <b val="1"/>
      <color rgb="004B0082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4" customWidth="1" min="3" max="3"/>
    <col width="7" customWidth="1" min="4" max="4"/>
    <col width="14" customWidth="1" min="5" max="5"/>
    <col width="9" customWidth="1" min="6" max="6"/>
  </cols>
  <sheetData>
    <row r="1">
      <c r="A1" s="1" t="inlineStr">
        <is>
          <t>Instrumento de Autoevaluación CENI Laboral · F-02</t>
        </is>
      </c>
    </row>
    <row r="2" ht="30" customHeight="1">
      <c r="A2" s="2" t="inlineStr">
        <is>
          <t>30 criterios · 1000 puntos · Bronce 500 / Plata 650 / Oro 800 (mín. 40% por dimensión).</t>
        </is>
      </c>
    </row>
    <row r="4">
      <c r="A4" s="3" t="inlineStr">
        <is>
          <t>Código</t>
        </is>
      </c>
      <c r="B4" s="3" t="inlineStr">
        <is>
          <t>Criterio</t>
        </is>
      </c>
      <c r="C4" s="3" t="inlineStr">
        <is>
          <t>Evidencia requerida</t>
        </is>
      </c>
      <c r="D4" s="3" t="inlineStr">
        <is>
          <t>Máx</t>
        </is>
      </c>
      <c r="E4" s="3" t="inlineStr">
        <is>
          <t>Cumplimiento</t>
        </is>
      </c>
      <c r="F4" s="3" t="inlineStr">
        <is>
          <t>Puntos</t>
        </is>
      </c>
    </row>
    <row r="5">
      <c r="A5" s="4" t="inlineStr">
        <is>
          <t>D1-C1</t>
        </is>
      </c>
      <c r="B5" s="5" t="inlineStr">
        <is>
          <t>Las vacantes usan lenguaje funcional (describe tareas, no perfiles de personalidad neurotípicos). No incluyen términos como "proactivo", "dinámico", "trabajo en equipo intensivo" como requisitos excluyentes.</t>
        </is>
      </c>
      <c r="C5" s="5" t="inlineStr">
        <is>
          <t>Últimas 3 ofertas de trabajo publicadas</t>
        </is>
      </c>
      <c r="D5" s="6" t="n">
        <v>30</v>
      </c>
      <c r="E5" s="7" t="n"/>
      <c r="F5" s="8">
        <f>IF($E5="","",IF($E5="Pleno",$D5,IF($E5="Parcial",$D5/2,0)))</f>
        <v/>
      </c>
    </row>
    <row r="6">
      <c r="A6" s="4" t="inlineStr">
        <is>
          <t>D1-C2</t>
        </is>
      </c>
      <c r="B6" s="5" t="inlineStr">
        <is>
          <t>El proceso de selección ofrece al menos dos modalidades de entrevista (oral + escrita, asíncrona, por video sin cámara obligatoria). Los candidatos conocen las opciones con antelación.</t>
        </is>
      </c>
      <c r="C6" s="5" t="inlineStr">
        <is>
          <t>Protocolo escrito de proceso de selección</t>
        </is>
      </c>
      <c r="D6" s="6" t="n">
        <v>30</v>
      </c>
      <c r="E6" s="7" t="n"/>
      <c r="F6" s="8">
        <f>IF($E6="","",IF($E6="Pleno",$D6,IF($E6="Parcial",$D6/2,0)))</f>
        <v/>
      </c>
    </row>
    <row r="7">
      <c r="A7" s="4" t="inlineStr">
        <is>
          <t>D1-C3</t>
        </is>
      </c>
      <c r="B7" s="5" t="inlineStr">
        <is>
          <t>Los evaluadores de selección han completado el curso CENI o equivalente de mínimo 8 horas en neurodiversidad. Registro de capacitación disponible.</t>
        </is>
      </c>
      <c r="C7" s="5" t="inlineStr">
        <is>
          <t>Constancias de capacitación del equipo evaluador</t>
        </is>
      </c>
      <c r="D7" s="6" t="n">
        <v>30</v>
      </c>
      <c r="E7" s="7" t="n"/>
      <c r="F7" s="8">
        <f>IF($E7="","",IF($E7="Pleno",$D7,IF($E7="Parcial",$D7/2,0)))</f>
        <v/>
      </c>
    </row>
    <row r="8">
      <c r="A8" s="4" t="inlineStr">
        <is>
          <t>D1-C4</t>
        </is>
      </c>
      <c r="B8" s="5" t="inlineStr">
        <is>
          <t>La descripción de puesto incluye una declaración explícita de inclusión neurodivergente y describe los ajustes razonables disponibles.</t>
        </is>
      </c>
      <c r="C8" s="5" t="inlineStr">
        <is>
          <t>Formato de descripción de puesto + declaración</t>
        </is>
      </c>
      <c r="D8" s="6" t="n">
        <v>30</v>
      </c>
      <c r="E8" s="7" t="n"/>
      <c r="F8" s="8">
        <f>IF($E8="","",IF($E8="Pleno",$D8,IF($E8="Parcial",$D8/2,0)))</f>
        <v/>
      </c>
    </row>
    <row r="9">
      <c r="A9" s="4" t="inlineStr">
        <is>
          <t>D1-C5</t>
        </is>
      </c>
      <c r="B9" s="5" t="inlineStr">
        <is>
          <t>Existe un protocolo de periodo de inducción adaptado para personas neurodivergentes: menor densidad de información por sesión, materiales escritos, mentor asignado, primera semana sin evaluación de desempeño.</t>
        </is>
      </c>
      <c r="C9" s="5" t="inlineStr">
        <is>
          <t>Protocolo de inducción neuroinclusiva</t>
        </is>
      </c>
      <c r="D9" s="6" t="n">
        <v>30</v>
      </c>
      <c r="E9" s="7" t="n"/>
      <c r="F9" s="8">
        <f>IF($E9="","",IF($E9="Pleno",$D9,IF($E9="Parcial",$D9/2,0)))</f>
        <v/>
      </c>
    </row>
    <row r="10">
      <c r="A10" s="4" t="inlineStr">
        <is>
          <t>D2-C1</t>
        </is>
      </c>
      <c r="B10" s="5" t="inlineStr">
        <is>
          <t>Nivel de ruido en áreas de trabajo concentrado ≤ 55 dB promedio en horario de jornada. Medición documentada con sonómetro al menos una vez por semestre.</t>
        </is>
      </c>
      <c r="C10" s="5" t="inlineStr">
        <is>
          <t>Registro de mediciones con fecha, instrumento y resultado</t>
        </is>
      </c>
      <c r="D10" s="6" t="n">
        <v>40</v>
      </c>
      <c r="E10" s="7" t="n"/>
      <c r="F10" s="8">
        <f>IF($E10="","",IF($E10="Pleno",$D10,IF($E10="Parcial",$D10/2,0)))</f>
        <v/>
      </c>
    </row>
    <row r="11">
      <c r="A11" s="4" t="inlineStr">
        <is>
          <t>D2-C2</t>
        </is>
      </c>
      <c r="B11" s="5" t="inlineStr">
        <is>
          <t>Iluminación en áreas de trabajo entre 300–500 lux. Ausencia de luz fluorescente parpadeante (&lt; 3 Hz). Al menos 40% de la iluminación puede ser natural o difusa.</t>
        </is>
      </c>
      <c r="C11" s="5" t="inlineStr">
        <is>
          <t>Registro de mediciones de luxómetro + fotografías</t>
        </is>
      </c>
      <c r="D11" s="6" t="n">
        <v>40</v>
      </c>
      <c r="E11" s="7" t="n"/>
      <c r="F11" s="8">
        <f>IF($E11="","",IF($E11="Pleno",$D11,IF($E11="Parcial",$D11/2,0)))</f>
        <v/>
      </c>
    </row>
    <row r="12">
      <c r="A12" s="4" t="inlineStr">
        <is>
          <t>D2-C3</t>
        </is>
      </c>
      <c r="B12" s="5" t="inlineStr">
        <is>
          <t>Existe al menos un espacio de calma certificado CENI (criterios del Módulo 3) por cada 50 colaboradores. Acceso libre, sin solicitud previa.</t>
        </is>
      </c>
      <c r="C12" s="5" t="inlineStr">
        <is>
          <t>Fotografías + plano de ubicación + política de acceso libre</t>
        </is>
      </c>
      <c r="D12" s="6" t="n">
        <v>40</v>
      </c>
      <c r="E12" s="7" t="n"/>
      <c r="F12" s="8">
        <f>IF($E12="","",IF($E12="Pleno",$D12,IF($E12="Parcial",$D12/2,0)))</f>
        <v/>
      </c>
    </row>
    <row r="13">
      <c r="A13" s="4" t="inlineStr">
        <is>
          <t>D2-C4</t>
        </is>
      </c>
      <c r="B13" s="5" t="inlineStr">
        <is>
          <t>Política de fragancia cero en áreas de trabajo y reuniones. La política está escrita, publicada y forma parte del Reglamento Interno de Neuroinclusión.</t>
        </is>
      </c>
      <c r="C13" s="5" t="inlineStr">
        <is>
          <t>Reglamento interno + evidencia de comunicación al equipo</t>
        </is>
      </c>
      <c r="D13" s="6" t="n">
        <v>40</v>
      </c>
      <c r="E13" s="7" t="n"/>
      <c r="F13" s="8">
        <f>IF($E13="","",IF($E13="Pleno",$D13,IF($E13="Parcial",$D13/2,0)))</f>
        <v/>
      </c>
    </row>
    <row r="14">
      <c r="A14" s="4" t="inlineStr">
        <is>
          <t>D2-C5</t>
        </is>
      </c>
      <c r="B14" s="5" t="inlineStr">
        <is>
          <t>Las personas neurodivergentes tienen acceso a opciones de personalización de su estación de trabajo: auriculares, divisores, luz de escritorio, herramientas sensoriales. No requieren justificación médica.</t>
        </is>
      </c>
      <c r="C14" s="5" t="inlineStr">
        <is>
          <t>Política escrita + inventario de recursos disponibles</t>
        </is>
      </c>
      <c r="D14" s="6" t="n">
        <v>40</v>
      </c>
      <c r="E14" s="7" t="n"/>
      <c r="F14" s="8">
        <f>IF($E14="","",IF($E14="Pleno",$D14,IF($E14="Parcial",$D14/2,0)))</f>
        <v/>
      </c>
    </row>
    <row r="15">
      <c r="A15" s="4" t="inlineStr">
        <is>
          <t>D3-C1</t>
        </is>
      </c>
      <c r="B15" s="5" t="inlineStr">
        <is>
          <t>Todas las reuniones cuentan con agenda escrita enviada con mínimo 24 horas de anticipación. Las reuniones sorpresa o convocadas con menos de 2 horas de anticipación requieren un procedimiento de excepción documentado.</t>
        </is>
      </c>
      <c r="C15" s="5" t="inlineStr">
        <is>
          <t>Registro de últimas 10 reuniones con evidencia de agenda anticipada</t>
        </is>
      </c>
      <c r="D15" s="6" t="n">
        <v>30</v>
      </c>
      <c r="E15" s="7" t="n"/>
      <c r="F15" s="8">
        <f>IF($E15="","",IF($E15="Pleno",$D15,IF($E15="Parcial",$D15/2,0)))</f>
        <v/>
      </c>
    </row>
    <row r="16">
      <c r="A16" s="4" t="inlineStr">
        <is>
          <t>D3-C2</t>
        </is>
      </c>
      <c r="B16" s="5" t="inlineStr">
        <is>
          <t>Los acuerdos y resultados de reuniones se documentan siempre por escrito y se envían a todos los participantes en las siguientes 4 horas.</t>
        </is>
      </c>
      <c r="C16" s="5" t="inlineStr">
        <is>
          <t>Muestra de minutas de últimas 5 reuniones</t>
        </is>
      </c>
      <c r="D16" s="6" t="n">
        <v>30</v>
      </c>
      <c r="E16" s="7" t="n"/>
      <c r="F16" s="8">
        <f>IF($E16="","",IF($E16="Pleno",$D16,IF($E16="Parcial",$D16/2,0)))</f>
        <v/>
      </c>
    </row>
    <row r="17">
      <c r="A17" s="4" t="inlineStr">
        <is>
          <t>D3-C3</t>
        </is>
      </c>
      <c r="B17" s="5" t="inlineStr">
        <is>
          <t>Existe un protocolo escrito de comunicación accesible para colaboradores neurodivergentes: opciones de comunicación escrita equivalente a verbal, canales asíncronos, políticas de tiempos de respuesta sin presión de inmediatez.</t>
        </is>
      </c>
      <c r="C17" s="5" t="inlineStr">
        <is>
          <t>Protocolo escrito aprobado + evidencia de comunicación al equipo</t>
        </is>
      </c>
      <c r="D17" s="6" t="n">
        <v>30</v>
      </c>
      <c r="E17" s="7" t="n"/>
      <c r="F17" s="8">
        <f>IF($E17="","",IF($E17="Pleno",$D17,IF($E17="Parcial",$D17/2,0)))</f>
        <v/>
      </c>
    </row>
    <row r="18">
      <c r="A18" s="4" t="inlineStr">
        <is>
          <t>D3-C4</t>
        </is>
      </c>
      <c r="B18" s="5" t="inlineStr">
        <is>
          <t>Las evaluaciones de desempeño se basan en criterios objetivos y cuantitativos, no en criterios como "actitud", "trabajo en equipo" o "comunicación" sin descriptores conductuales específicos.</t>
        </is>
      </c>
      <c r="C18" s="5" t="inlineStr">
        <is>
          <t>Formato de evaluación de desempeño vigente</t>
        </is>
      </c>
      <c r="D18" s="6" t="n">
        <v>30</v>
      </c>
      <c r="E18" s="7" t="n"/>
      <c r="F18" s="8">
        <f>IF($E18="","",IF($E18="Pleno",$D18,IF($E18="Parcial",$D18/2,0)))</f>
        <v/>
      </c>
    </row>
    <row r="19">
      <c r="A19" s="4" t="inlineStr">
        <is>
          <t>D3-C5</t>
        </is>
      </c>
      <c r="B19" s="5" t="inlineStr">
        <is>
          <t>Existe un canal dedicado de retroalimentación anónima para que colaboradores reporten barreras de comunicación o accesibilidad. El canal tiene una persona responsable y un tiempo de respuesta definido (máximo 5 días hábiles).</t>
        </is>
      </c>
      <c r="C19" s="5" t="inlineStr">
        <is>
          <t>Canal activo + registro de consultas y respuestas</t>
        </is>
      </c>
      <c r="D19" s="6" t="n">
        <v>30</v>
      </c>
      <c r="E19" s="7" t="n"/>
      <c r="F19" s="8">
        <f>IF($E19="","",IF($E19="Pleno",$D19,IF($E19="Parcial",$D19/2,0)))</f>
        <v/>
      </c>
    </row>
    <row r="20">
      <c r="A20" s="4" t="inlineStr">
        <is>
          <t>D4-C1</t>
        </is>
      </c>
      <c r="B20" s="5" t="inlineStr">
        <is>
          <t>La asignación de tareas se hace con instrucciones escritas, desglosadas en pasos específicos y con fechas límite claramente definidas. No se asignan tareas exclusivamente de manera verbal en reuniones.</t>
        </is>
      </c>
      <c r="C20" s="5" t="inlineStr">
        <is>
          <t>Muestra de asignaciones de tareas de los últimos 30 días</t>
        </is>
      </c>
      <c r="D20" s="6" t="n">
        <v>40</v>
      </c>
      <c r="E20" s="7" t="n"/>
      <c r="F20" s="8">
        <f>IF($E20="","",IF($E20="Pleno",$D20,IF($E20="Parcial",$D20/2,0)))</f>
        <v/>
      </c>
    </row>
    <row r="21">
      <c r="A21" s="4" t="inlineStr">
        <is>
          <t>D4-C2</t>
        </is>
      </c>
      <c r="B21" s="5" t="inlineStr">
        <is>
          <t>Las personas neurodivergentes tienen derecho a solicitar tiempos adicionales o extensiones en plazos sin penalización y sin requerir justificación médica, mediante un procedimiento simple y documentado.</t>
        </is>
      </c>
      <c r="C21" s="5" t="inlineStr">
        <is>
          <t>Política escrita de ajuste de tiempos + registro de solicitudes</t>
        </is>
      </c>
      <c r="D21" s="6" t="n">
        <v>40</v>
      </c>
      <c r="E21" s="7" t="n"/>
      <c r="F21" s="8">
        <f>IF($E21="","",IF($E21="Pleno",$D21,IF($E21="Parcial",$D21/2,0)))</f>
        <v/>
      </c>
    </row>
    <row r="22">
      <c r="A22" s="4" t="inlineStr">
        <is>
          <t>D4-C3</t>
        </is>
      </c>
      <c r="B22" s="5" t="inlineStr">
        <is>
          <t>La jornada laboral incluye al menos dos periodos de descanso activo de mínimo 10 minutos cada uno, además del tiempo de comida. Los descansos son derechos, no recompensas.</t>
        </is>
      </c>
      <c r="C22" s="5" t="inlineStr">
        <is>
          <t>Política de descansos escrita + horario publicado</t>
        </is>
      </c>
      <c r="D22" s="6" t="n">
        <v>40</v>
      </c>
      <c r="E22" s="7" t="n"/>
      <c r="F22" s="8">
        <f>IF($E22="","",IF($E22="Pleno",$D22,IF($E22="Parcial",$D22/2,0)))</f>
        <v/>
      </c>
    </row>
    <row r="23">
      <c r="A23" s="4" t="inlineStr">
        <is>
          <t>D4-C4</t>
        </is>
      </c>
      <c r="B23" s="5" t="inlineStr">
        <is>
          <t>No existe la cultura de la "disponibilidad 24/7": hay una política clara de desconexión digital fuera de horario laboral, con protocolos de urgencia definidos y limitados.</t>
        </is>
      </c>
      <c r="C23" s="5" t="inlineStr">
        <is>
          <t>Política de desconexión digital + evidencia de comunicación</t>
        </is>
      </c>
      <c r="D23" s="6" t="n">
        <v>40</v>
      </c>
      <c r="E23" s="7" t="n"/>
      <c r="F23" s="8">
        <f>IF($E23="","",IF($E23="Pleno",$D23,IF($E23="Parcial",$D23/2,0)))</f>
        <v/>
      </c>
    </row>
    <row r="24">
      <c r="A24" s="4" t="inlineStr">
        <is>
          <t>D4-C5</t>
        </is>
      </c>
      <c r="B24" s="5" t="inlineStr">
        <is>
          <t>Existen modalidades flexibles de trabajo (horario flexible, trabajo remoto, trabajo híbrido) disponibles para personas neurodivergentes que las requieran como ajuste razonable, sin carga burocrática excesiva.</t>
        </is>
      </c>
      <c r="C24" s="5" t="inlineStr">
        <is>
          <t>Política de flexibilidad laboral + registro de solicitudes aprobadas</t>
        </is>
      </c>
      <c r="D24" s="6" t="n">
        <v>40</v>
      </c>
      <c r="E24" s="7" t="n"/>
      <c r="F24" s="8">
        <f>IF($E24="","",IF($E24="Pleno",$D24,IF($E24="Parcial",$D24/2,0)))</f>
        <v/>
      </c>
    </row>
    <row r="25">
      <c r="A25" s="4" t="inlineStr">
        <is>
          <t>D5-C1</t>
        </is>
      </c>
      <c r="B25" s="5" t="inlineStr">
        <is>
          <t>Existe un Plan de Desarrollo Individual (PDI) para cada colaborador neurodivergente, diseñado con la persona y revisado al menos cada 6 meses. El PDI incluye objetivos, apoyos y cronograma.</t>
        </is>
      </c>
      <c r="C25" s="5" t="inlineStr">
        <is>
          <t>PDI de colaboradores identificados + evidencia de construcción conjunta</t>
        </is>
      </c>
      <c r="D25" s="6" t="n">
        <v>30</v>
      </c>
      <c r="E25" s="7" t="n"/>
      <c r="F25" s="8">
        <f>IF($E25="","",IF($E25="Pleno",$D25,IF($E25="Parcial",$D25/2,0)))</f>
        <v/>
      </c>
    </row>
    <row r="26">
      <c r="A26" s="4" t="inlineStr">
        <is>
          <t>D5-C2</t>
        </is>
      </c>
      <c r="B26" s="5" t="inlineStr">
        <is>
          <t>Los programas de capacitación interna están disponibles en formato accesible: materiales escritos, ritmo flexible, posibilidad de completar de manera asíncrona o individual.</t>
        </is>
      </c>
      <c r="C26" s="5" t="inlineStr">
        <is>
          <t>Catálogo de capacitaciones + versiones accesibles disponibles</t>
        </is>
      </c>
      <c r="D26" s="6" t="n">
        <v>30</v>
      </c>
      <c r="E26" s="7" t="n"/>
      <c r="F26" s="8">
        <f>IF($E26="","",IF($E26="Pleno",$D26,IF($E26="Parcial",$D26/2,0)))</f>
        <v/>
      </c>
    </row>
    <row r="27">
      <c r="A27" s="4" t="inlineStr">
        <is>
          <t>D5-C3</t>
        </is>
      </c>
      <c r="B27" s="5" t="inlineStr">
        <is>
          <t>Existe una política explícita anti-represalia: ningún colaborador puede ser perjudicado por solicitar ajustes razonables, por identificarse como neurodivergente o por reportar barreras de accesibilidad.</t>
        </is>
      </c>
      <c r="C27" s="5" t="inlineStr">
        <is>
          <t>Política escrita + mecanismo de denuncia activo</t>
        </is>
      </c>
      <c r="D27" s="6" t="n">
        <v>30</v>
      </c>
      <c r="E27" s="7" t="n"/>
      <c r="F27" s="8">
        <f>IF($E27="","",IF($E27="Pleno",$D27,IF($E27="Parcial",$D27/2,0)))</f>
        <v/>
      </c>
    </row>
    <row r="28">
      <c r="A28" s="4" t="inlineStr">
        <is>
          <t>D5-C4</t>
        </is>
      </c>
      <c r="B28" s="5" t="inlineStr">
        <is>
          <t>Los procesos de ascenso y promoción usan criterios equivalentes a los de selección inicial: no discriminan por perfil comunicativo neurotípico. Los criterios están documentados y son públicos.</t>
        </is>
      </c>
      <c r="C28" s="5" t="inlineStr">
        <is>
          <t>Criterios de ascenso documentados + últimos 3 procesos</t>
        </is>
      </c>
      <c r="D28" s="6" t="n">
        <v>30</v>
      </c>
      <c r="E28" s="7" t="n"/>
      <c r="F28" s="8">
        <f>IF($E28="","",IF($E28="Pleno",$D28,IF($E28="Parcial",$D28/2,0)))</f>
        <v/>
      </c>
    </row>
    <row r="29">
      <c r="A29" s="4" t="inlineStr">
        <is>
          <t>D5-C5</t>
        </is>
      </c>
      <c r="B29" s="5" t="inlineStr">
        <is>
          <t>La organización realiza una encuesta anónima anual de clima neuroinclusivo con al menos 5 indicadores específicos de neurodiversidad. Los resultados se publican internamente y generan compromisos de mejora.</t>
        </is>
      </c>
      <c r="C29" s="5" t="inlineStr">
        <is>
          <t>Encuesta más reciente + resultados + plan de acción</t>
        </is>
      </c>
      <c r="D29" s="6" t="n">
        <v>30</v>
      </c>
      <c r="E29" s="7" t="n"/>
      <c r="F29" s="8">
        <f>IF($E29="","",IF($E29="Pleno",$D29,IF($E29="Parcial",$D29/2,0)))</f>
        <v/>
      </c>
    </row>
    <row r="30">
      <c r="A30" s="4" t="inlineStr">
        <is>
          <t>D6-C1</t>
        </is>
      </c>
      <c r="B30" s="5" t="inlineStr">
        <is>
          <t>Existe un Responsable de Neuroinclusión designado formalmente: persona con cargo definido, tiempo asignado, presupuesto propio y reporte directo a la dirección. No es un rol voluntario ni de tiempo parcial mínimo.</t>
        </is>
      </c>
      <c r="C30" s="5" t="inlineStr">
        <is>
          <t>Nombramiento formal + descripción de puesto + presupuesto asignado</t>
        </is>
      </c>
      <c r="D30" s="6" t="n">
        <v>30</v>
      </c>
      <c r="E30" s="7" t="n"/>
      <c r="F30" s="8">
        <f>IF($E30="","",IF($E30="Pleno",$D30,IF($E30="Parcial",$D30/2,0)))</f>
        <v/>
      </c>
    </row>
    <row r="31">
      <c r="A31" s="4" t="inlineStr">
        <is>
          <t>D6-C2</t>
        </is>
      </c>
      <c r="B31" s="5" t="inlineStr">
        <is>
          <t>Existe un Reglamento Interno de Neuroinclusión (RIN) aprobado por la dirección, que incluye: definiciones, derechos, protocolos, canal de queja y sanciones por incumplimiento.</t>
        </is>
      </c>
      <c r="C31" s="5" t="inlineStr">
        <is>
          <t>RIN aprobado + fecha + firma de la dirección</t>
        </is>
      </c>
      <c r="D31" s="6" t="n">
        <v>30</v>
      </c>
      <c r="E31" s="7" t="n"/>
      <c r="F31" s="8">
        <f>IF($E31="","",IF($E31="Pleno",$D31,IF($E31="Parcial",$D31/2,0)))</f>
        <v/>
      </c>
    </row>
    <row r="32">
      <c r="A32" s="4" t="inlineStr">
        <is>
          <t>D6-C3</t>
        </is>
      </c>
      <c r="B32" s="5" t="inlineStr">
        <is>
          <t>Se realiza una auditoría interna semestral de cumplimiento CENI, utilizando el instrumento de autoevaluación oficial. Los resultados se documentan y se usan para actualizar el Plan de Mejora.</t>
        </is>
      </c>
      <c r="C32" s="5" t="inlineStr">
        <is>
          <t>Registros de últimas dos auditorías internas</t>
        </is>
      </c>
      <c r="D32" s="6" t="n">
        <v>30</v>
      </c>
      <c r="E32" s="7" t="n"/>
      <c r="F32" s="8">
        <f>IF($E32="","",IF($E32="Pleno",$D32,IF($E32="Parcial",$D32/2,0)))</f>
        <v/>
      </c>
    </row>
    <row r="33">
      <c r="A33" s="4" t="inlineStr">
        <is>
          <t>D6-C4</t>
        </is>
      </c>
      <c r="B33" s="5" t="inlineStr">
        <is>
          <t>Al menos el 80% del personal con responsabilidades de gestión (supervisores, gerentes, directores) ha completado el Curso CENI o equivalente en el último año. Constancias disponibles.</t>
        </is>
      </c>
      <c r="C33" s="5" t="inlineStr">
        <is>
          <t>Listado de personal gerencial + constancias de capacitación</t>
        </is>
      </c>
      <c r="D33" s="6" t="n">
        <v>30</v>
      </c>
      <c r="E33" s="7" t="n"/>
      <c r="F33" s="8">
        <f>IF($E33="","",IF($E33="Pleno",$D33,IF($E33="Parcial",$D33/2,0)))</f>
        <v/>
      </c>
    </row>
    <row r="34">
      <c r="A34" s="4" t="inlineStr">
        <is>
          <t>D6-C5</t>
        </is>
      </c>
      <c r="B34" s="5" t="inlineStr">
        <is>
          <t>Existe un Plan de Mejora Continua de Neuroinclusión (PMCN) anual, con objetivos SMART, responsables y fechas. El PMCN es revisado trimestralmente y está alineado a las observaciones de la auditoría externa CENI.</t>
        </is>
      </c>
      <c r="C34" s="5" t="inlineStr">
        <is>
          <t>PMCN vigente + últimas dos revisiones trimestrales</t>
        </is>
      </c>
      <c r="D34" s="6" t="n">
        <v>30</v>
      </c>
      <c r="E34" s="7" t="n"/>
      <c r="F34" s="8">
        <f>IF($E34="","",IF($E34="Pleno",$D34,IF($E34="Parcial",$D34/2,0)))</f>
        <v/>
      </c>
    </row>
    <row r="36">
      <c r="B36" s="9" t="inlineStr">
        <is>
          <t>Resumen por dimensión (mínimo 40% en cada una)</t>
        </is>
      </c>
    </row>
    <row r="37">
      <c r="B37" s="10" t="inlineStr">
        <is>
          <t>Dimensión</t>
        </is>
      </c>
      <c r="D37" s="10" t="inlineStr">
        <is>
          <t>Máx</t>
        </is>
      </c>
      <c r="E37" s="10" t="inlineStr">
        <is>
          <t>Obtenido</t>
        </is>
      </c>
      <c r="F37" s="10" t="inlineStr">
        <is>
          <t>%</t>
        </is>
      </c>
    </row>
    <row r="38">
      <c r="B38" s="5" t="inlineStr">
        <is>
          <t>D1 · Políticas y Compromiso</t>
        </is>
      </c>
      <c r="D38" s="11">
        <f>SUMIF($A$5:$A$34,"D1-*",$D$5:$D$34)</f>
        <v/>
      </c>
      <c r="E38" s="11">
        <f>SUMIF($A$5:$A$34,"D1-*",$F$5:$F$34)</f>
        <v/>
      </c>
      <c r="F38" s="11">
        <f>IF($D38=0,"",ROUND($E38/$D38*100,0)&amp;"%")</f>
        <v/>
      </c>
    </row>
    <row r="39">
      <c r="B39" s="5" t="inlineStr">
        <is>
          <t>D2 · Reclutamiento y Selección</t>
        </is>
      </c>
      <c r="D39" s="11">
        <f>SUMIF($A$5:$A$34,"D2-*",$D$5:$D$34)</f>
        <v/>
      </c>
      <c r="E39" s="11">
        <f>SUMIF($A$5:$A$34,"D2-*",$F$5:$F$34)</f>
        <v/>
      </c>
      <c r="F39" s="11">
        <f>IF($D39=0,"",ROUND($E39/$D39*100,0)&amp;"%")</f>
        <v/>
      </c>
    </row>
    <row r="40">
      <c r="B40" s="5" t="inlineStr">
        <is>
          <t>D3 · Ambiente y Cultura</t>
        </is>
      </c>
      <c r="D40" s="11">
        <f>SUMIF($A$5:$A$34,"D3-*",$D$5:$D$34)</f>
        <v/>
      </c>
      <c r="E40" s="11">
        <f>SUMIF($A$5:$A$34,"D3-*",$F$5:$F$34)</f>
        <v/>
      </c>
      <c r="F40" s="11">
        <f>IF($D40=0,"",ROUND($E40/$D40*100,0)&amp;"%")</f>
        <v/>
      </c>
    </row>
    <row r="41">
      <c r="B41" s="5" t="inlineStr">
        <is>
          <t>D4 · Desarrollo y Retención</t>
        </is>
      </c>
      <c r="D41" s="11">
        <f>SUMIF($A$5:$A$34,"D4-*",$D$5:$D$34)</f>
        <v/>
      </c>
      <c r="E41" s="11">
        <f>SUMIF($A$5:$A$34,"D4-*",$F$5:$F$34)</f>
        <v/>
      </c>
      <c r="F41" s="11">
        <f>IF($D41=0,"",ROUND($E41/$D41*100,0)&amp;"%")</f>
        <v/>
      </c>
    </row>
    <row r="42">
      <c r="B42" s="5" t="inlineStr">
        <is>
          <t>D5 · Gestión de Crisis</t>
        </is>
      </c>
      <c r="D42" s="11">
        <f>SUMIF($A$5:$A$34,"D5-*",$D$5:$D$34)</f>
        <v/>
      </c>
      <c r="E42" s="11">
        <f>SUMIF($A$5:$A$34,"D5-*",$F$5:$F$34)</f>
        <v/>
      </c>
      <c r="F42" s="11">
        <f>IF($D42=0,"",ROUND($E42/$D42*100,0)&amp;"%")</f>
        <v/>
      </c>
    </row>
    <row r="43">
      <c r="B43" s="5" t="inlineStr">
        <is>
          <t>D6 · Medición e Impacto</t>
        </is>
      </c>
      <c r="D43" s="11">
        <f>SUMIF($A$5:$A$34,"D6-*",$D$5:$D$34)</f>
        <v/>
      </c>
      <c r="E43" s="11">
        <f>SUMIF($A$5:$A$34,"D6-*",$F$5:$F$34)</f>
        <v/>
      </c>
      <c r="F43" s="11">
        <f>IF($D43=0,"",ROUND($E43/$D43*100,0)&amp;"%")</f>
        <v/>
      </c>
    </row>
    <row r="45">
      <c r="B45" s="12" t="inlineStr">
        <is>
          <t>Puntuación total</t>
        </is>
      </c>
      <c r="F45" s="13">
        <f>SUM($F$5:$F$34)</f>
        <v/>
      </c>
    </row>
    <row r="46">
      <c r="B46" s="12" t="inlineStr">
        <is>
          <t>Nivel alcanzado</t>
        </is>
      </c>
      <c r="F46" s="13">
        <f>IF(F45="","",IF(F45&gt;=800,"Oro",IF(F45&gt;=650,"Plata",IF(F45&gt;=500,"Bronce","No certificable"))))</f>
        <v/>
      </c>
    </row>
    <row r="48" ht="26" customHeight="1">
      <c r="A48" s="14" t="inlineStr">
        <is>
          <t>Cumplimiento: "Pleno" = criterio cumplido con evidencia; "Parcial" = 50%; "No" = 0. Para certificar se requiere el umbral del nivel y, además, mínimo 40% en cada dimensión.</t>
        </is>
      </c>
    </row>
  </sheetData>
  <mergeCells count="3">
    <mergeCell ref="A2:F2"/>
    <mergeCell ref="A1:F1"/>
    <mergeCell ref="A48:F48"/>
  </mergeCells>
  <dataValidations count="1">
    <dataValidation sqref="E5 E6 E7 E8 E9 E10 E11 E12 E13 E14 E15 E16 E17 E18 E19 E20 E21 E22 E23 E24 E25 E26 E27 E28 E29 E30 E31 E32 E33 E34" showDropDown="0" showInputMessage="0" showErrorMessage="0" allowBlank="1" type="list">
      <formula1>"Pleno,Parcial,No"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